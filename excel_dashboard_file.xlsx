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cuments\"/>
    </mc:Choice>
  </mc:AlternateContent>
  <bookViews>
    <workbookView xWindow="0" yWindow="0" windowWidth="20460" windowHeight="8670"/>
  </bookViews>
  <sheets>
    <sheet name="DASHBOARD" sheetId="4" r:id="rId1"/>
    <sheet name="DATASET" sheetId="1" r:id="rId2"/>
  </sheets>
  <definedNames>
    <definedName name="Slicer_audience_country">#N/A</definedName>
    <definedName name="Slicer_category_1">#N/A</definedName>
    <definedName name="Slicer_Influencer_Tier">#N/A</definedName>
  </definedNames>
  <calcPr calcId="152511"/>
  <extLst>
    <ext xmlns:x14="http://schemas.microsoft.com/office/spreadsheetml/2009/9/main" uri="{876F7934-8845-4945-9796-88D515C7AA90}">
      <x14:pivotCaches>
        <pivotCache cacheId="7"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H2" i="1"/>
  <c r="E2" i="1" s="1"/>
  <c r="H3" i="1"/>
  <c r="E3" i="1" s="1"/>
  <c r="H4" i="1"/>
  <c r="E4" i="1" s="1"/>
  <c r="H5" i="1"/>
  <c r="E5" i="1" s="1"/>
  <c r="H6" i="1"/>
  <c r="E6" i="1" s="1"/>
  <c r="H7" i="1"/>
  <c r="E7" i="1" s="1"/>
  <c r="H8" i="1"/>
  <c r="E8" i="1" s="1"/>
  <c r="H9" i="1"/>
  <c r="E9" i="1" s="1"/>
  <c r="H10" i="1"/>
  <c r="E10" i="1" s="1"/>
  <c r="H11" i="1"/>
  <c r="E11" i="1" s="1"/>
  <c r="H12" i="1"/>
  <c r="E12" i="1" s="1"/>
  <c r="H13" i="1"/>
  <c r="E13" i="1" s="1"/>
  <c r="H14" i="1"/>
  <c r="E14" i="1" s="1"/>
  <c r="H15" i="1"/>
  <c r="E15" i="1" s="1"/>
  <c r="H16" i="1"/>
  <c r="E16" i="1" s="1"/>
  <c r="H17" i="1"/>
  <c r="E17" i="1" s="1"/>
  <c r="H18" i="1"/>
  <c r="E18" i="1" s="1"/>
  <c r="H19" i="1"/>
  <c r="E19" i="1" s="1"/>
  <c r="H20" i="1"/>
  <c r="E20" i="1" s="1"/>
  <c r="H21" i="1"/>
  <c r="E21" i="1" s="1"/>
  <c r="H22" i="1"/>
  <c r="E22" i="1" s="1"/>
  <c r="H23" i="1"/>
  <c r="E23" i="1" s="1"/>
  <c r="H24" i="1"/>
  <c r="E24" i="1" s="1"/>
  <c r="H25" i="1"/>
  <c r="E25" i="1" s="1"/>
  <c r="H26" i="1"/>
  <c r="E26" i="1" s="1"/>
  <c r="H27" i="1"/>
  <c r="E27" i="1" s="1"/>
  <c r="H28" i="1"/>
  <c r="E28" i="1" s="1"/>
  <c r="H29" i="1"/>
  <c r="E29" i="1" s="1"/>
  <c r="H30" i="1"/>
  <c r="E30" i="1" s="1"/>
  <c r="H31" i="1"/>
  <c r="E31" i="1" s="1"/>
  <c r="H32" i="1"/>
  <c r="E32" i="1" s="1"/>
  <c r="H33" i="1"/>
  <c r="E33" i="1" s="1"/>
  <c r="H34" i="1"/>
  <c r="E34" i="1" s="1"/>
  <c r="H35" i="1"/>
  <c r="E35" i="1" s="1"/>
  <c r="H36" i="1"/>
  <c r="E36" i="1" s="1"/>
  <c r="H37" i="1"/>
  <c r="E37" i="1" s="1"/>
  <c r="H38" i="1"/>
  <c r="E38" i="1" s="1"/>
  <c r="H39" i="1"/>
  <c r="E39" i="1" s="1"/>
  <c r="H40" i="1"/>
  <c r="E40" i="1" s="1"/>
  <c r="H41" i="1"/>
  <c r="E41" i="1" s="1"/>
  <c r="H42" i="1"/>
  <c r="E42" i="1" s="1"/>
  <c r="H43" i="1"/>
  <c r="E43" i="1" s="1"/>
  <c r="H44" i="1"/>
  <c r="E44" i="1" s="1"/>
  <c r="H45" i="1"/>
  <c r="E45" i="1" s="1"/>
  <c r="H46" i="1"/>
  <c r="E46" i="1" s="1"/>
  <c r="H47" i="1"/>
  <c r="E47" i="1" s="1"/>
  <c r="H48" i="1"/>
  <c r="E48" i="1" s="1"/>
  <c r="H49" i="1"/>
  <c r="E49" i="1" s="1"/>
  <c r="H50" i="1"/>
  <c r="E50" i="1" s="1"/>
  <c r="H51" i="1"/>
  <c r="E51" i="1" s="1"/>
  <c r="H52" i="1"/>
  <c r="E52" i="1" s="1"/>
  <c r="H53" i="1"/>
  <c r="E53" i="1" s="1"/>
  <c r="H54" i="1"/>
  <c r="E54" i="1" s="1"/>
  <c r="H55" i="1"/>
  <c r="E55" i="1" s="1"/>
  <c r="H56" i="1"/>
  <c r="E56" i="1" s="1"/>
  <c r="H57" i="1"/>
  <c r="E57" i="1" s="1"/>
  <c r="H58" i="1"/>
  <c r="E58" i="1" s="1"/>
  <c r="H59" i="1"/>
  <c r="E59" i="1" s="1"/>
  <c r="H60" i="1"/>
  <c r="E60" i="1" s="1"/>
  <c r="H61" i="1"/>
  <c r="E61" i="1" s="1"/>
  <c r="H62" i="1"/>
  <c r="E62" i="1" s="1"/>
  <c r="H63" i="1"/>
  <c r="E63" i="1" s="1"/>
  <c r="H64" i="1"/>
  <c r="E64" i="1" s="1"/>
  <c r="H65" i="1"/>
  <c r="E65" i="1" s="1"/>
  <c r="H66" i="1"/>
  <c r="E66" i="1" s="1"/>
  <c r="H67" i="1"/>
  <c r="E67" i="1" s="1"/>
  <c r="H68" i="1"/>
  <c r="E68" i="1" s="1"/>
  <c r="H69" i="1"/>
  <c r="E69" i="1" s="1"/>
  <c r="H70" i="1"/>
  <c r="E70" i="1" s="1"/>
  <c r="H71" i="1"/>
  <c r="E71" i="1" s="1"/>
  <c r="H72" i="1"/>
  <c r="E72" i="1" s="1"/>
  <c r="H73" i="1"/>
  <c r="E73" i="1" s="1"/>
  <c r="H74" i="1"/>
  <c r="E74" i="1" s="1"/>
  <c r="H75" i="1"/>
  <c r="E75" i="1" s="1"/>
  <c r="H76" i="1"/>
  <c r="E76" i="1" s="1"/>
  <c r="H77" i="1"/>
  <c r="E77" i="1" s="1"/>
  <c r="H78" i="1"/>
  <c r="E78" i="1" s="1"/>
  <c r="H79" i="1"/>
  <c r="E79" i="1" s="1"/>
  <c r="H80" i="1"/>
  <c r="E80" i="1" s="1"/>
  <c r="H81" i="1"/>
  <c r="E81" i="1" s="1"/>
  <c r="H82" i="1"/>
  <c r="E82" i="1" s="1"/>
  <c r="H83" i="1"/>
  <c r="E83" i="1" s="1"/>
  <c r="H84" i="1"/>
  <c r="E84" i="1" s="1"/>
  <c r="H85" i="1"/>
  <c r="E85" i="1" s="1"/>
  <c r="H86" i="1"/>
  <c r="E86" i="1" s="1"/>
  <c r="H87" i="1"/>
  <c r="E87" i="1" s="1"/>
  <c r="H88" i="1"/>
  <c r="E88" i="1" s="1"/>
  <c r="H89" i="1"/>
  <c r="E89" i="1" s="1"/>
  <c r="H90" i="1"/>
  <c r="E90" i="1" s="1"/>
  <c r="H91" i="1"/>
  <c r="E91" i="1" s="1"/>
  <c r="H92" i="1"/>
  <c r="E92" i="1" s="1"/>
  <c r="H93" i="1"/>
  <c r="E93" i="1" s="1"/>
  <c r="H94" i="1"/>
  <c r="E94" i="1" s="1"/>
  <c r="H95" i="1"/>
  <c r="E95" i="1" s="1"/>
  <c r="H96" i="1"/>
  <c r="E96" i="1" s="1"/>
  <c r="H97" i="1"/>
  <c r="E97" i="1" s="1"/>
  <c r="H98" i="1"/>
  <c r="E98" i="1" s="1"/>
  <c r="H99" i="1"/>
  <c r="E99" i="1" s="1"/>
  <c r="H100" i="1"/>
  <c r="E100" i="1" s="1"/>
  <c r="H101" i="1"/>
  <c r="E101" i="1" s="1"/>
  <c r="H102" i="1"/>
  <c r="E102" i="1" s="1"/>
  <c r="H103" i="1"/>
  <c r="E103" i="1" s="1"/>
  <c r="H104" i="1"/>
  <c r="E104" i="1" s="1"/>
  <c r="H105" i="1"/>
  <c r="E105" i="1" s="1"/>
  <c r="H106" i="1"/>
  <c r="E106" i="1" s="1"/>
  <c r="H107" i="1"/>
  <c r="E107" i="1" s="1"/>
  <c r="H108" i="1"/>
  <c r="E108" i="1" s="1"/>
  <c r="H109" i="1"/>
  <c r="E109" i="1" s="1"/>
  <c r="H110" i="1"/>
  <c r="E110" i="1" s="1"/>
  <c r="H111" i="1"/>
  <c r="E111" i="1" s="1"/>
  <c r="H112" i="1"/>
  <c r="E112" i="1" s="1"/>
  <c r="H113" i="1"/>
  <c r="E113" i="1" s="1"/>
  <c r="H114" i="1"/>
  <c r="E114" i="1" s="1"/>
  <c r="H115" i="1"/>
  <c r="E115" i="1" s="1"/>
  <c r="H116" i="1"/>
  <c r="E116" i="1" s="1"/>
  <c r="H117" i="1"/>
  <c r="E117" i="1" s="1"/>
  <c r="H118" i="1"/>
  <c r="E118" i="1" s="1"/>
  <c r="H119" i="1"/>
  <c r="E119" i="1" s="1"/>
  <c r="H120" i="1"/>
  <c r="E120" i="1" s="1"/>
  <c r="H121" i="1"/>
  <c r="E121" i="1" s="1"/>
  <c r="H122" i="1"/>
  <c r="E122" i="1" s="1"/>
  <c r="H123" i="1"/>
  <c r="E123" i="1" s="1"/>
  <c r="H124" i="1"/>
  <c r="E124" i="1" s="1"/>
  <c r="H125" i="1"/>
  <c r="E125" i="1" s="1"/>
  <c r="H126" i="1"/>
  <c r="E126" i="1" s="1"/>
  <c r="H127" i="1"/>
  <c r="E127" i="1" s="1"/>
  <c r="H128" i="1"/>
  <c r="E128" i="1" s="1"/>
  <c r="H129" i="1"/>
  <c r="E129" i="1" s="1"/>
  <c r="H130" i="1"/>
  <c r="E130" i="1" s="1"/>
  <c r="H131" i="1"/>
  <c r="E131" i="1" s="1"/>
  <c r="H132" i="1"/>
  <c r="E132" i="1" s="1"/>
  <c r="H133" i="1"/>
  <c r="E133" i="1" s="1"/>
  <c r="H134" i="1"/>
  <c r="E134" i="1" s="1"/>
  <c r="H135" i="1"/>
  <c r="E135" i="1" s="1"/>
  <c r="H136" i="1"/>
  <c r="E136" i="1" s="1"/>
  <c r="H137" i="1"/>
  <c r="E137" i="1" s="1"/>
  <c r="H138" i="1"/>
  <c r="E138" i="1" s="1"/>
  <c r="H139" i="1"/>
  <c r="E139" i="1" s="1"/>
  <c r="H140" i="1"/>
  <c r="E140" i="1" s="1"/>
  <c r="H141" i="1"/>
  <c r="E141" i="1" s="1"/>
  <c r="H142" i="1"/>
  <c r="E142" i="1" s="1"/>
  <c r="H143" i="1"/>
  <c r="E143" i="1" s="1"/>
  <c r="H144" i="1"/>
  <c r="E144" i="1" s="1"/>
  <c r="H145" i="1"/>
  <c r="E145" i="1" s="1"/>
  <c r="H146" i="1"/>
  <c r="E146" i="1" s="1"/>
  <c r="H147" i="1"/>
  <c r="E147" i="1" s="1"/>
  <c r="H148" i="1"/>
  <c r="E148" i="1" s="1"/>
  <c r="H149" i="1"/>
  <c r="E149" i="1" s="1"/>
  <c r="H150" i="1"/>
  <c r="E150" i="1" s="1"/>
  <c r="H151" i="1"/>
  <c r="E151" i="1" s="1"/>
  <c r="H152" i="1"/>
  <c r="E152" i="1" s="1"/>
  <c r="H153" i="1"/>
  <c r="E153" i="1" s="1"/>
  <c r="H154" i="1"/>
  <c r="E154" i="1" s="1"/>
  <c r="H155" i="1"/>
  <c r="E155" i="1" s="1"/>
  <c r="H156" i="1"/>
  <c r="E156" i="1" s="1"/>
  <c r="H157" i="1"/>
  <c r="E157" i="1" s="1"/>
  <c r="H158" i="1"/>
  <c r="E158" i="1" s="1"/>
  <c r="H159" i="1"/>
  <c r="E159" i="1" s="1"/>
  <c r="H160" i="1"/>
  <c r="E160" i="1" s="1"/>
  <c r="H161" i="1"/>
  <c r="E161" i="1" s="1"/>
  <c r="H162" i="1"/>
  <c r="E162" i="1" s="1"/>
  <c r="H163" i="1"/>
  <c r="E163" i="1" s="1"/>
  <c r="H164" i="1"/>
  <c r="E164" i="1" s="1"/>
  <c r="H165" i="1"/>
  <c r="E165" i="1" s="1"/>
  <c r="H166" i="1"/>
  <c r="E166" i="1" s="1"/>
  <c r="H167" i="1"/>
  <c r="E167" i="1" s="1"/>
  <c r="H168" i="1"/>
  <c r="E168" i="1" s="1"/>
  <c r="H169" i="1"/>
  <c r="E169" i="1" s="1"/>
  <c r="H170" i="1"/>
  <c r="E170" i="1" s="1"/>
  <c r="H171" i="1"/>
  <c r="E171" i="1" s="1"/>
  <c r="H172" i="1"/>
  <c r="E172" i="1" s="1"/>
  <c r="H173" i="1"/>
  <c r="E173" i="1" s="1"/>
  <c r="H174" i="1"/>
  <c r="E174" i="1" s="1"/>
  <c r="H175" i="1"/>
  <c r="E175" i="1" s="1"/>
  <c r="H176" i="1"/>
  <c r="E176" i="1" s="1"/>
  <c r="H177" i="1"/>
  <c r="E177" i="1" s="1"/>
  <c r="H178" i="1"/>
  <c r="E178" i="1" s="1"/>
  <c r="H179" i="1"/>
  <c r="E179" i="1" s="1"/>
  <c r="H180" i="1"/>
  <c r="E180" i="1" s="1"/>
  <c r="H181" i="1"/>
  <c r="E181" i="1" s="1"/>
  <c r="H182" i="1"/>
  <c r="E182" i="1" s="1"/>
  <c r="H183" i="1"/>
  <c r="E183" i="1" s="1"/>
  <c r="H184" i="1"/>
  <c r="E184" i="1" s="1"/>
  <c r="H185" i="1"/>
  <c r="E185" i="1" s="1"/>
  <c r="H186" i="1"/>
  <c r="E186" i="1" s="1"/>
  <c r="H187" i="1"/>
  <c r="E187" i="1" s="1"/>
  <c r="H188" i="1"/>
  <c r="E188" i="1" s="1"/>
  <c r="H189" i="1"/>
  <c r="E189" i="1" s="1"/>
  <c r="H190" i="1"/>
  <c r="E190" i="1" s="1"/>
  <c r="H191" i="1"/>
  <c r="E191" i="1" s="1"/>
  <c r="H192" i="1"/>
  <c r="E192" i="1" s="1"/>
  <c r="H193" i="1"/>
  <c r="E193" i="1" s="1"/>
  <c r="H194" i="1"/>
  <c r="E194" i="1" s="1"/>
  <c r="H195" i="1"/>
  <c r="E195" i="1" s="1"/>
  <c r="H196" i="1"/>
  <c r="E196" i="1" s="1"/>
  <c r="H197" i="1"/>
  <c r="E197" i="1" s="1"/>
  <c r="H198" i="1"/>
  <c r="E198" i="1" s="1"/>
  <c r="H199" i="1"/>
  <c r="E199" i="1" s="1"/>
  <c r="H200" i="1"/>
  <c r="E200" i="1" s="1"/>
  <c r="H201" i="1"/>
  <c r="E201" i="1" s="1"/>
  <c r="H202" i="1"/>
  <c r="E202" i="1" s="1"/>
  <c r="H203" i="1"/>
  <c r="E203" i="1" s="1"/>
  <c r="H204" i="1"/>
  <c r="E204" i="1" s="1"/>
  <c r="H205" i="1"/>
  <c r="E205" i="1" s="1"/>
  <c r="H206" i="1"/>
  <c r="E206" i="1" s="1"/>
  <c r="H207" i="1"/>
  <c r="E207" i="1" s="1"/>
  <c r="H208" i="1"/>
  <c r="E208" i="1" s="1"/>
  <c r="H209" i="1"/>
  <c r="E209" i="1" s="1"/>
  <c r="H210" i="1"/>
  <c r="E210" i="1" s="1"/>
  <c r="H211" i="1"/>
  <c r="E211" i="1" s="1"/>
  <c r="H212" i="1"/>
  <c r="E212" i="1" s="1"/>
  <c r="H213" i="1"/>
  <c r="E213" i="1" s="1"/>
  <c r="H214" i="1"/>
  <c r="E214" i="1" s="1"/>
</calcChain>
</file>

<file path=xl/sharedStrings.xml><?xml version="1.0" encoding="utf-8"?>
<sst xmlns="http://schemas.openxmlformats.org/spreadsheetml/2006/main" count="1292" uniqueCount="685">
  <si>
    <t>instagram_name</t>
  </si>
  <si>
    <t>_name</t>
  </si>
  <si>
    <t>subscribers</t>
  </si>
  <si>
    <t>audience_country</t>
  </si>
  <si>
    <t>authentic_engagement</t>
  </si>
  <si>
    <t>engagement_average</t>
  </si>
  <si>
    <t>category_1</t>
  </si>
  <si>
    <t>category_2</t>
  </si>
  <si>
    <t>engagement_score</t>
  </si>
  <si>
    <t>therock</t>
  </si>
  <si>
    <t>Dwayne Johnson</t>
  </si>
  <si>
    <t>India</t>
  </si>
  <si>
    <t>375.2K</t>
  </si>
  <si>
    <t>Cinema &amp; Actors/actresses</t>
  </si>
  <si>
    <t>Fitness &amp; Gym</t>
  </si>
  <si>
    <t>khloekardashian</t>
  </si>
  <si>
    <t>Khloé Kardashian</t>
  </si>
  <si>
    <t>United States</t>
  </si>
  <si>
    <t>403.1K</t>
  </si>
  <si>
    <t>Clothing &amp; Outfits</t>
  </si>
  <si>
    <t>Lifestyle</t>
  </si>
  <si>
    <t>nasa</t>
  </si>
  <si>
    <t>NASA</t>
  </si>
  <si>
    <t>800.4K</t>
  </si>
  <si>
    <t>Science</t>
  </si>
  <si>
    <t>Photography</t>
  </si>
  <si>
    <t>dishapatani</t>
  </si>
  <si>
    <t>disha patani (paatni) 🦋</t>
  </si>
  <si>
    <t>802.5K</t>
  </si>
  <si>
    <t>virginia</t>
  </si>
  <si>
    <t>Virginia Fonseca Costa</t>
  </si>
  <si>
    <t>Brazil</t>
  </si>
  <si>
    <t>708.4K</t>
  </si>
  <si>
    <t>Shows</t>
  </si>
  <si>
    <t>davidbeckham</t>
  </si>
  <si>
    <t>David Beckham</t>
  </si>
  <si>
    <t>360.5K</t>
  </si>
  <si>
    <t>Family</t>
  </si>
  <si>
    <t>Sports with a ball</t>
  </si>
  <si>
    <t>rohittt_09_</t>
  </si>
  <si>
    <t>𝐑𝐨𝐡𝐢𝐭 𝐙𝐢𝐧𝐣𝐮𝐫𝐤𝐞 ~ 𝐫𝐞𝐚𝐜𝐭𝐢𝐨𝐧𝐛𝐨𝐢 💫</t>
  </si>
  <si>
    <t>807.5K</t>
  </si>
  <si>
    <t>nike</t>
  </si>
  <si>
    <t>Nike</t>
  </si>
  <si>
    <t>89.7K</t>
  </si>
  <si>
    <t>Shopping &amp; Retail</t>
  </si>
  <si>
    <t>luisitocomunica</t>
  </si>
  <si>
    <t>Luisillo El Pillo</t>
  </si>
  <si>
    <t>Mexico</t>
  </si>
  <si>
    <t>627.1K</t>
  </si>
  <si>
    <t>Humor &amp; Fun &amp; Happiness</t>
  </si>
  <si>
    <t>miakhalifa</t>
  </si>
  <si>
    <t>Mia K.</t>
  </si>
  <si>
    <t>605.5K</t>
  </si>
  <si>
    <t>vinijr</t>
  </si>
  <si>
    <t>Vinicius Jr. ⚡️🇧🇷</t>
  </si>
  <si>
    <t>610.1K</t>
  </si>
  <si>
    <t>natgeo</t>
  </si>
  <si>
    <t>National Geographic</t>
  </si>
  <si>
    <t>78.8K</t>
  </si>
  <si>
    <t>Nature &amp; landscapes</t>
  </si>
  <si>
    <t>kapilsharma</t>
  </si>
  <si>
    <t>Kapil Sharma</t>
  </si>
  <si>
    <t>463.9K</t>
  </si>
  <si>
    <t>norafatehi</t>
  </si>
  <si>
    <t>Nora Fatehi</t>
  </si>
  <si>
    <t>424.4K</t>
  </si>
  <si>
    <t>emmawatson</t>
  </si>
  <si>
    <t>Emma Watson</t>
  </si>
  <si>
    <t>224.3K</t>
  </si>
  <si>
    <t>Literature &amp; Journalism</t>
  </si>
  <si>
    <t>erling.haaland</t>
  </si>
  <si>
    <t>Erling Braut Haaland</t>
  </si>
  <si>
    <t>722.6K</t>
  </si>
  <si>
    <t>strangerthingstv</t>
  </si>
  <si>
    <t>Stranger Things Netflix</t>
  </si>
  <si>
    <t>649.8K</t>
  </si>
  <si>
    <t>zachking</t>
  </si>
  <si>
    <t>Zach King</t>
  </si>
  <si>
    <t>Indonesia</t>
  </si>
  <si>
    <t>455.5K</t>
  </si>
  <si>
    <t>tatawerneck</t>
  </si>
  <si>
    <t>Tata Werneck</t>
  </si>
  <si>
    <t>197.1K</t>
  </si>
  <si>
    <t>carryminati</t>
  </si>
  <si>
    <t>𝑨𝒋𝒆𝒚 𝑵𝒂𝒈𝒂𝒓</t>
  </si>
  <si>
    <t>795.3K</t>
  </si>
  <si>
    <t>Computers &amp; Gadgets</t>
  </si>
  <si>
    <t>Machinery &amp; Technologies</t>
  </si>
  <si>
    <t>sydney_sweeney</t>
  </si>
  <si>
    <t>Sydney Sweeney</t>
  </si>
  <si>
    <t>555.4K</t>
  </si>
  <si>
    <t>gatenm123</t>
  </si>
  <si>
    <t>Gaten Matarazzo</t>
  </si>
  <si>
    <t>596.8K</t>
  </si>
  <si>
    <t>Fashion</t>
  </si>
  <si>
    <t>awez_darbar</t>
  </si>
  <si>
    <t>Awez Darbar</t>
  </si>
  <si>
    <t>531.2K</t>
  </si>
  <si>
    <t>sunnyleone</t>
  </si>
  <si>
    <t>Sunny Leone</t>
  </si>
  <si>
    <t>195.5K</t>
  </si>
  <si>
    <t>Beauty</t>
  </si>
  <si>
    <t>xxxibgdrgn</t>
  </si>
  <si>
    <t>권지용(權志龍)</t>
  </si>
  <si>
    <t>504.8K</t>
  </si>
  <si>
    <t>ranveersingh</t>
  </si>
  <si>
    <t>Ranveer Singh</t>
  </si>
  <si>
    <t>247.4K</t>
  </si>
  <si>
    <t>Modeling</t>
  </si>
  <si>
    <t>jairmessiasbolsonaro</t>
  </si>
  <si>
    <t>Jair M. Bolsonaro</t>
  </si>
  <si>
    <t>452.8K</t>
  </si>
  <si>
    <t>Finance &amp; Economics</t>
  </si>
  <si>
    <t>Business &amp; Careers</t>
  </si>
  <si>
    <t>janhvikapoor</t>
  </si>
  <si>
    <t>Janhvi Kapoor</t>
  </si>
  <si>
    <t>581.1K</t>
  </si>
  <si>
    <t>keerthysureshofficial</t>
  </si>
  <si>
    <t>Keerthy Suresh</t>
  </si>
  <si>
    <t>805K</t>
  </si>
  <si>
    <t>samoylovaoxana</t>
  </si>
  <si>
    <t>Samoylova Oxana</t>
  </si>
  <si>
    <t>Russia</t>
  </si>
  <si>
    <t>603.4K</t>
  </si>
  <si>
    <t>sidmalhotra</t>
  </si>
  <si>
    <t>Sidharth Malhotra</t>
  </si>
  <si>
    <t>478.2K</t>
  </si>
  <si>
    <t>realbarbarapalvin</t>
  </si>
  <si>
    <t>Barbara Palvin</t>
  </si>
  <si>
    <t>483.4K</t>
  </si>
  <si>
    <t>marvel</t>
  </si>
  <si>
    <t>Marvel Entertainment</t>
  </si>
  <si>
    <t>148K</t>
  </si>
  <si>
    <t>mr_faisu_07</t>
  </si>
  <si>
    <t>FAISAL SHAIKH</t>
  </si>
  <si>
    <t>322.9K</t>
  </si>
  <si>
    <t>sachintendulkar</t>
  </si>
  <si>
    <t>Sachin Tendulkar</t>
  </si>
  <si>
    <t>264.2K</t>
  </si>
  <si>
    <t>iammichelemorroneofficial</t>
  </si>
  <si>
    <t>Michele Morrone</t>
  </si>
  <si>
    <t>498.4K</t>
  </si>
  <si>
    <t>greeicy</t>
  </si>
  <si>
    <t>Greeicy</t>
  </si>
  <si>
    <t>Colombia</t>
  </si>
  <si>
    <t>371.7K</t>
  </si>
  <si>
    <t>imsebastianstan</t>
  </si>
  <si>
    <t>Sebastian Stan</t>
  </si>
  <si>
    <t>941.3K</t>
  </si>
  <si>
    <t>Mega</t>
  </si>
  <si>
    <t>larasilva</t>
  </si>
  <si>
    <t>Lara Silva ⚠️</t>
  </si>
  <si>
    <t>386.6K</t>
  </si>
  <si>
    <t>Adult content</t>
  </si>
  <si>
    <t>neslihanatagul</t>
  </si>
  <si>
    <t>Neslihan Atagül Doğulu</t>
  </si>
  <si>
    <t>Turkey</t>
  </si>
  <si>
    <t>608.9K</t>
  </si>
  <si>
    <t>arigameplays</t>
  </si>
  <si>
    <t>ARIGAMEPLAYS</t>
  </si>
  <si>
    <t>727.8K</t>
  </si>
  <si>
    <t>nct_dream</t>
  </si>
  <si>
    <t>NCT DREAM OFFICIAL</t>
  </si>
  <si>
    <t>845K</t>
  </si>
  <si>
    <t>hassan_reyvandi</t>
  </si>
  <si>
    <t>hasan reyvandi حسن ریوندی</t>
  </si>
  <si>
    <t>Iran</t>
  </si>
  <si>
    <t>337.9K</t>
  </si>
  <si>
    <t>rohitsharma45</t>
  </si>
  <si>
    <t>Rohit Sharma</t>
  </si>
  <si>
    <t>324.4K</t>
  </si>
  <si>
    <t>shaq</t>
  </si>
  <si>
    <t>DR. SHAQUILLE O'NEAL Ed.D.</t>
  </si>
  <si>
    <t>258.1K</t>
  </si>
  <si>
    <t>michelleobama</t>
  </si>
  <si>
    <t>Michelle Obama</t>
  </si>
  <si>
    <t>156.1K</t>
  </si>
  <si>
    <t>joeyking</t>
  </si>
  <si>
    <t>Joey King</t>
  </si>
  <si>
    <t>313.9K</t>
  </si>
  <si>
    <t>stephencurry30</t>
  </si>
  <si>
    <t>Wardell Curry</t>
  </si>
  <si>
    <t>140K</t>
  </si>
  <si>
    <t>lizasoberano</t>
  </si>
  <si>
    <t>Liza Soberano</t>
  </si>
  <si>
    <t>Philippines</t>
  </si>
  <si>
    <t>410.3K</t>
  </si>
  <si>
    <t>jadepicon</t>
  </si>
  <si>
    <t>JADE 🌪</t>
  </si>
  <si>
    <t>187.7K</t>
  </si>
  <si>
    <t>wow_kimsohyun</t>
  </si>
  <si>
    <t>김소현</t>
  </si>
  <si>
    <t>592.1K</t>
  </si>
  <si>
    <t>caradelevingne</t>
  </si>
  <si>
    <t>Cara Delevingne</t>
  </si>
  <si>
    <t>137.4K</t>
  </si>
  <si>
    <t>c.syresmith</t>
  </si>
  <si>
    <t>Jaden Smith</t>
  </si>
  <si>
    <t>275.4K</t>
  </si>
  <si>
    <t>barackobama</t>
  </si>
  <si>
    <t>Barack Obama</t>
  </si>
  <si>
    <t>191.2K</t>
  </si>
  <si>
    <t>fabriziorom</t>
  </si>
  <si>
    <t>Fabrizio Romano</t>
  </si>
  <si>
    <t>Italy</t>
  </si>
  <si>
    <t>418.5K</t>
  </si>
  <si>
    <t>lilyachty</t>
  </si>
  <si>
    <t>C.V T</t>
  </si>
  <si>
    <t>363.1K</t>
  </si>
  <si>
    <t>hshq</t>
  </si>
  <si>
    <t>Harry Styles HQ</t>
  </si>
  <si>
    <t>638.5K</t>
  </si>
  <si>
    <t>deiveleonardo</t>
  </si>
  <si>
    <t>Deive Leonardo</t>
  </si>
  <si>
    <t>330.3K</t>
  </si>
  <si>
    <t>Trainers &amp; Coaches</t>
  </si>
  <si>
    <t>yasmine_sabri</t>
  </si>
  <si>
    <t>Yasmine Sabri</t>
  </si>
  <si>
    <t>Egypt</t>
  </si>
  <si>
    <t>262.9K</t>
  </si>
  <si>
    <t>anyataylorjoy</t>
  </si>
  <si>
    <t>Anya Taylor-Joy</t>
  </si>
  <si>
    <t>554.7K</t>
  </si>
  <si>
    <t>abdevilliers17</t>
  </si>
  <si>
    <t>AB de Villiers</t>
  </si>
  <si>
    <t>328.3K</t>
  </si>
  <si>
    <t>krisjenner</t>
  </si>
  <si>
    <t>Kris Jenner</t>
  </si>
  <si>
    <t>92.1K</t>
  </si>
  <si>
    <t>melo</t>
  </si>
  <si>
    <t>LaMelo Ball</t>
  </si>
  <si>
    <t>377.5K</t>
  </si>
  <si>
    <t>_seorina</t>
  </si>
  <si>
    <t>설인아 sᴇᴏʀɪɴᴀ</t>
  </si>
  <si>
    <t>South Korea</t>
  </si>
  <si>
    <t>858.3K</t>
  </si>
  <si>
    <t>marktuan</t>
  </si>
  <si>
    <t>Mark Tuan</t>
  </si>
  <si>
    <t>423.5K</t>
  </si>
  <si>
    <t>evcenf</t>
  </si>
  <si>
    <t>Fahriye Evcen Özçivit</t>
  </si>
  <si>
    <t>418.9K</t>
  </si>
  <si>
    <t>shaymitchell</t>
  </si>
  <si>
    <t>Shay Mitchell</t>
  </si>
  <si>
    <t>140.1K</t>
  </si>
  <si>
    <t>mathildtantot</t>
  </si>
  <si>
    <t>Mathilde</t>
  </si>
  <si>
    <t>424.6K</t>
  </si>
  <si>
    <t>leaelui</t>
  </si>
  <si>
    <t>Lea Elui G</t>
  </si>
  <si>
    <t>337.5K</t>
  </si>
  <si>
    <t>jennaortega</t>
  </si>
  <si>
    <t>Jenna Ortega</t>
  </si>
  <si>
    <t>523.2K</t>
  </si>
  <si>
    <t>florencepugh</t>
  </si>
  <si>
    <t>Florence Pugh</t>
  </si>
  <si>
    <t>loud_victor</t>
  </si>
  <si>
    <t>Victor Augusto</t>
  </si>
  <si>
    <t>449.1K</t>
  </si>
  <si>
    <t>vickykaushal09</t>
  </si>
  <si>
    <t>Vicky Kaushal</t>
  </si>
  <si>
    <t>357.8K</t>
  </si>
  <si>
    <t>tiffanyyoungofficial</t>
  </si>
  <si>
    <t>tiffany young</t>
  </si>
  <si>
    <t>359.6K</t>
  </si>
  <si>
    <t>jailyneojeda</t>
  </si>
  <si>
    <t>Jailyne Ojeda Ochoa</t>
  </si>
  <si>
    <t>293.3K</t>
  </si>
  <si>
    <t>bernardokath</t>
  </si>
  <si>
    <t>Kathryn Bernardo 🐘</t>
  </si>
  <si>
    <t>270.7K</t>
  </si>
  <si>
    <t>gisele</t>
  </si>
  <si>
    <t>Gisele Bündchen</t>
  </si>
  <si>
    <t>194.8K</t>
  </si>
  <si>
    <t>nazriyafahadh</t>
  </si>
  <si>
    <t>Nazriya Nazim Fahadh</t>
  </si>
  <si>
    <t>666.1K</t>
  </si>
  <si>
    <t>anjimaxuofficially</t>
  </si>
  <si>
    <t>Anjali Arora</t>
  </si>
  <si>
    <t>363.2K</t>
  </si>
  <si>
    <t>euphoria</t>
  </si>
  <si>
    <t>434.3K</t>
  </si>
  <si>
    <t>kingbach</t>
  </si>
  <si>
    <t>King Bach</t>
  </si>
  <si>
    <t>113.3K</t>
  </si>
  <si>
    <t>dra.deolanebezerra</t>
  </si>
  <si>
    <t>Deolane Bezerra ⚖️</t>
  </si>
  <si>
    <t>163.6K</t>
  </si>
  <si>
    <t>lexibrookerivera</t>
  </si>
  <si>
    <t>Lexi Rivera</t>
  </si>
  <si>
    <t>512K</t>
  </si>
  <si>
    <t>klaythompson</t>
  </si>
  <si>
    <t>Klay Thompson</t>
  </si>
  <si>
    <t>267.5K</t>
  </si>
  <si>
    <t>sav.labrant</t>
  </si>
  <si>
    <t>Savannah Rose LaBrant</t>
  </si>
  <si>
    <t>518.8K</t>
  </si>
  <si>
    <t>srinidhi_shetty</t>
  </si>
  <si>
    <t>Srinidhi Shetty 🌸</t>
  </si>
  <si>
    <t>818.6K</t>
  </si>
  <si>
    <t>warriors</t>
  </si>
  <si>
    <t>Golden State Warriors</t>
  </si>
  <si>
    <t>132K</t>
  </si>
  <si>
    <t>phoebejtonkin</t>
  </si>
  <si>
    <t>Phoebe Tonkin</t>
  </si>
  <si>
    <t>388.3K</t>
  </si>
  <si>
    <t>nita_shilimkar</t>
  </si>
  <si>
    <t>Nita Shilimkar</t>
  </si>
  <si>
    <t>301.8K</t>
  </si>
  <si>
    <t>gessicakayane</t>
  </si>
  <si>
    <t>GKAY</t>
  </si>
  <si>
    <t>111.7K</t>
  </si>
  <si>
    <t>dew_jsu</t>
  </si>
  <si>
    <t>2000</t>
  </si>
  <si>
    <t>544.5K</t>
  </si>
  <si>
    <t>itsmarziapie</t>
  </si>
  <si>
    <t>Marzia Kjellberg</t>
  </si>
  <si>
    <t>450.1K</t>
  </si>
  <si>
    <t>hugogloss</t>
  </si>
  <si>
    <t>Hugo Gloss</t>
  </si>
  <si>
    <t>110.9K</t>
  </si>
  <si>
    <t>sportscenter</t>
  </si>
  <si>
    <t>SportsCenter</t>
  </si>
  <si>
    <t>76.6K</t>
  </si>
  <si>
    <t>actorprabhas</t>
  </si>
  <si>
    <t>Prabhas</t>
  </si>
  <si>
    <t>443.3K</t>
  </si>
  <si>
    <t>theellenshow</t>
  </si>
  <si>
    <t>Ellen DeGeneres</t>
  </si>
  <si>
    <t>28.4K</t>
  </si>
  <si>
    <t>avrillavigne</t>
  </si>
  <si>
    <t>Avril Lavigne</t>
  </si>
  <si>
    <t>284.5K</t>
  </si>
  <si>
    <t>rizkybillar</t>
  </si>
  <si>
    <t>Muhammad Rizky Billar</t>
  </si>
  <si>
    <t>248.5K</t>
  </si>
  <si>
    <t>victoriajustice</t>
  </si>
  <si>
    <t>Victoria Justice</t>
  </si>
  <si>
    <t>131.1K</t>
  </si>
  <si>
    <t>egupta</t>
  </si>
  <si>
    <t>Esha Gupta</t>
  </si>
  <si>
    <t>280.6K</t>
  </si>
  <si>
    <t>andreavaldirisos</t>
  </si>
  <si>
    <t>ANDREA VALDIRI 🇨🇴</t>
  </si>
  <si>
    <t>326.9K</t>
  </si>
  <si>
    <t>netflixbrasil</t>
  </si>
  <si>
    <t>Netflix Brasil</t>
  </si>
  <si>
    <t>70.7K</t>
  </si>
  <si>
    <t>piawurtzbach</t>
  </si>
  <si>
    <t>Pia Wurtzbach</t>
  </si>
  <si>
    <t>234.5K</t>
  </si>
  <si>
    <t>lacasadepapel</t>
  </si>
  <si>
    <t>La Casa de Papel</t>
  </si>
  <si>
    <t>202.5K</t>
  </si>
  <si>
    <t>cvillaloboss</t>
  </si>
  <si>
    <t>CARMEN VILLALOBOS</t>
  </si>
  <si>
    <t>151.4K</t>
  </si>
  <si>
    <t>jeromepolin</t>
  </si>
  <si>
    <t>Jerome Polin Sijabat ジェローム</t>
  </si>
  <si>
    <t>379K</t>
  </si>
  <si>
    <t>Education</t>
  </si>
  <si>
    <t>sarahhyland</t>
  </si>
  <si>
    <t>Sarah Hyland</t>
  </si>
  <si>
    <t>310.1K</t>
  </si>
  <si>
    <t>aslisona</t>
  </si>
  <si>
    <t>Sonakshi Sinha</t>
  </si>
  <si>
    <t>134.4K</t>
  </si>
  <si>
    <t>lamborghini</t>
  </si>
  <si>
    <t>Lamborghini</t>
  </si>
  <si>
    <t>83.8K</t>
  </si>
  <si>
    <t>Luxury</t>
  </si>
  <si>
    <t>Cars &amp; Motorbikes</t>
  </si>
  <si>
    <t>taylor_hill</t>
  </si>
  <si>
    <t>Taylor Hill</t>
  </si>
  <si>
    <t>121K</t>
  </si>
  <si>
    <t>sooyoungchoi</t>
  </si>
  <si>
    <t>Sooyoung Choi</t>
  </si>
  <si>
    <t>421.3K</t>
  </si>
  <si>
    <t>chrissyteigen</t>
  </si>
  <si>
    <t>chrissy teigen</t>
  </si>
  <si>
    <t>72K</t>
  </si>
  <si>
    <t>lizzobeeating</t>
  </si>
  <si>
    <t>Lizzo</t>
  </si>
  <si>
    <t>204.1K</t>
  </si>
  <si>
    <t>240.5K</t>
  </si>
  <si>
    <t>309.4K</t>
  </si>
  <si>
    <t>39saku_chan</t>
  </si>
  <si>
    <t>Sakura Miyawaki</t>
  </si>
  <si>
    <t>708K</t>
  </si>
  <si>
    <t>dbook</t>
  </si>
  <si>
    <t>Devin</t>
  </si>
  <si>
    <t>349.4K</t>
  </si>
  <si>
    <t>iampauloandre</t>
  </si>
  <si>
    <t>Paulo André 🏁</t>
  </si>
  <si>
    <t>135.4K</t>
  </si>
  <si>
    <t>oprah</t>
  </si>
  <si>
    <t>Oprah</t>
  </si>
  <si>
    <t>143.7K</t>
  </si>
  <si>
    <t>beautifuldestinations</t>
  </si>
  <si>
    <t>BEAUTIFUL DESTINATIONS</t>
  </si>
  <si>
    <t>107.6K</t>
  </si>
  <si>
    <t>Travel</t>
  </si>
  <si>
    <t>madisonbaileybabe</t>
  </si>
  <si>
    <t>Maddie Baby</t>
  </si>
  <si>
    <t>288.9K</t>
  </si>
  <si>
    <t>rishabpant</t>
  </si>
  <si>
    <t>Rishabh Pant</t>
  </si>
  <si>
    <t>439.7K</t>
  </si>
  <si>
    <t>willevy</t>
  </si>
  <si>
    <t>William  Levy / Actor Producer</t>
  </si>
  <si>
    <t>242.1K</t>
  </si>
  <si>
    <t>pokimanelol</t>
  </si>
  <si>
    <t>pokimane 🤍</t>
  </si>
  <si>
    <t>436.7K</t>
  </si>
  <si>
    <t>jamorant</t>
  </si>
  <si>
    <t>12 🥷🏽🖤</t>
  </si>
  <si>
    <t>284.6K</t>
  </si>
  <si>
    <t>Winter sports</t>
  </si>
  <si>
    <t>amadorat</t>
  </si>
  <si>
    <t>N I C O L E   A M A D O 🐉</t>
  </si>
  <si>
    <t>378.8K</t>
  </si>
  <si>
    <t>demirose</t>
  </si>
  <si>
    <t>Demi 🌹</t>
  </si>
  <si>
    <t>130.7K</t>
  </si>
  <si>
    <t>apple</t>
  </si>
  <si>
    <t>88.2K</t>
  </si>
  <si>
    <t>grantgust</t>
  </si>
  <si>
    <t>Grant Gustin</t>
  </si>
  <si>
    <t>305.4K</t>
  </si>
  <si>
    <t>netflix</t>
  </si>
  <si>
    <t>Netflix US</t>
  </si>
  <si>
    <t>64.1K</t>
  </si>
  <si>
    <t>ederbez</t>
  </si>
  <si>
    <t>Eugenio Derbez</t>
  </si>
  <si>
    <t>156.3K</t>
  </si>
  <si>
    <t>amybethmcnulty</t>
  </si>
  <si>
    <t>Amybeth</t>
  </si>
  <si>
    <t>307.9K</t>
  </si>
  <si>
    <t>juki_lop</t>
  </si>
  <si>
    <t>JukiLop</t>
  </si>
  <si>
    <t>300K</t>
  </si>
  <si>
    <t>simonettalein</t>
  </si>
  <si>
    <t>Simonetta Lein</t>
  </si>
  <si>
    <t>188.8K</t>
  </si>
  <si>
    <t>adrianalima</t>
  </si>
  <si>
    <t>Adriana Lima</t>
  </si>
  <si>
    <t>146.4K</t>
  </si>
  <si>
    <t>sonamkapoor</t>
  </si>
  <si>
    <t>Sonam Kapoor Ahuja</t>
  </si>
  <si>
    <t>80.6K</t>
  </si>
  <si>
    <t>troyesivan</t>
  </si>
  <si>
    <t>troye sivan</t>
  </si>
  <si>
    <t>164.1K</t>
  </si>
  <si>
    <t>schwarzenegger</t>
  </si>
  <si>
    <t>Arnold Schwarzenegger</t>
  </si>
  <si>
    <t>118.9K</t>
  </si>
  <si>
    <t>_abu_saalim_</t>
  </si>
  <si>
    <t>ABU SAALIM</t>
  </si>
  <si>
    <t>446.5K</t>
  </si>
  <si>
    <t>trentarnold66</t>
  </si>
  <si>
    <t>Trent Alexander-Arnold</t>
  </si>
  <si>
    <t>United Kingdom</t>
  </si>
  <si>
    <t>earthpix</t>
  </si>
  <si>
    <t>🌎  EarthPix  🌎</t>
  </si>
  <si>
    <t>102.8K</t>
  </si>
  <si>
    <t>maneskinofficial</t>
  </si>
  <si>
    <t>Måneskin</t>
  </si>
  <si>
    <t>356.3K</t>
  </si>
  <si>
    <t>voguemagazine</t>
  </si>
  <si>
    <t>Vogue</t>
  </si>
  <si>
    <t>50.5K</t>
  </si>
  <si>
    <t>valentinazenere</t>
  </si>
  <si>
    <t>Valentina Zenere</t>
  </si>
  <si>
    <t>248.4K</t>
  </si>
  <si>
    <t>nikefootball</t>
  </si>
  <si>
    <t>Nike Football (Soccer)</t>
  </si>
  <si>
    <t>42.8K</t>
  </si>
  <si>
    <t>candiceking</t>
  </si>
  <si>
    <t>Candice King</t>
  </si>
  <si>
    <t>214.1K</t>
  </si>
  <si>
    <t>onwardwanna</t>
  </si>
  <si>
    <t>Javon "Wanna" Walton</t>
  </si>
  <si>
    <t>filiperet</t>
  </si>
  <si>
    <t>Retchê</t>
  </si>
  <si>
    <t>153.9K</t>
  </si>
  <si>
    <t>ahmedabohashima</t>
  </si>
  <si>
    <t>Ahmed Abouhashima</t>
  </si>
  <si>
    <t>125.9K</t>
  </si>
  <si>
    <t>borodylia</t>
  </si>
  <si>
    <t>Ксения Бородина</t>
  </si>
  <si>
    <t>124K</t>
  </si>
  <si>
    <t>jaspritb1</t>
  </si>
  <si>
    <t>jasprit bumrah</t>
  </si>
  <si>
    <t>256.6K</t>
  </si>
  <si>
    <t>spacex</t>
  </si>
  <si>
    <t>SpaceX</t>
  </si>
  <si>
    <t>148.7K</t>
  </si>
  <si>
    <t>chaelincl</t>
  </si>
  <si>
    <t>CL</t>
  </si>
  <si>
    <t>206.3K</t>
  </si>
  <si>
    <t>paollaoliveirareal</t>
  </si>
  <si>
    <t>Paolla Oliveira</t>
  </si>
  <si>
    <t>60.7K</t>
  </si>
  <si>
    <t>lance210</t>
  </si>
  <si>
    <t>Lance Stewart</t>
  </si>
  <si>
    <t>257K</t>
  </si>
  <si>
    <t>jessicajane99</t>
  </si>
  <si>
    <t>Jessica Jane</t>
  </si>
  <si>
    <t>352K</t>
  </si>
  <si>
    <t>dhanashree9</t>
  </si>
  <si>
    <t>Dhanashree Verma</t>
  </si>
  <si>
    <t>417.2K</t>
  </si>
  <si>
    <t>blythe</t>
  </si>
  <si>
    <t>Andrea Brillantes</t>
  </si>
  <si>
    <t>175.4K</t>
  </si>
  <si>
    <t>anastasiya_kvitko</t>
  </si>
  <si>
    <t>AK</t>
  </si>
  <si>
    <t>179.4K</t>
  </si>
  <si>
    <t>alvaromorata</t>
  </si>
  <si>
    <t>Álvaro Morata</t>
  </si>
  <si>
    <t>96.7K</t>
  </si>
  <si>
    <t>letthelordbewithyou</t>
  </si>
  <si>
    <t>Scott Disick</t>
  </si>
  <si>
    <t>jimmyfallon</t>
  </si>
  <si>
    <t>Jimmy Fallon</t>
  </si>
  <si>
    <t>92.5K</t>
  </si>
  <si>
    <t>sofiaalcastro</t>
  </si>
  <si>
    <t>♡sofia castro</t>
  </si>
  <si>
    <t>225K</t>
  </si>
  <si>
    <t>ler_chek</t>
  </si>
  <si>
    <t>Валерия Чекалина</t>
  </si>
  <si>
    <t>197.2K</t>
  </si>
  <si>
    <t>iiqraaziz</t>
  </si>
  <si>
    <t>IQRA AZIZ HUSSAIN🇵🇰</t>
  </si>
  <si>
    <t>265.6K</t>
  </si>
  <si>
    <t>maitreyiramakrishnan</t>
  </si>
  <si>
    <t>Maitreyi Ramakrishnan</t>
  </si>
  <si>
    <t>485.4K</t>
  </si>
  <si>
    <t>priyankaamohanofficial</t>
  </si>
  <si>
    <t>Priyanka Mohan</t>
  </si>
  <si>
    <t>672.3K</t>
  </si>
  <si>
    <t>dukeandduchessofcambridge</t>
  </si>
  <si>
    <t>Duke and Duchess of Cambridge</t>
  </si>
  <si>
    <t>147.1K</t>
  </si>
  <si>
    <t>laurenlondon</t>
  </si>
  <si>
    <t>Lauren London</t>
  </si>
  <si>
    <t>157.3K</t>
  </si>
  <si>
    <t>jordynwoods</t>
  </si>
  <si>
    <t>HEIR JORDYN</t>
  </si>
  <si>
    <t>107.2K</t>
  </si>
  <si>
    <t>larray</t>
  </si>
  <si>
    <t>larri</t>
  </si>
  <si>
    <t>262.1K</t>
  </si>
  <si>
    <t>dorra_zarrouk</t>
  </si>
  <si>
    <t>DORRA درة.</t>
  </si>
  <si>
    <t>118.2K</t>
  </si>
  <si>
    <t>cnn</t>
  </si>
  <si>
    <t>CNN</t>
  </si>
  <si>
    <t>101.1K</t>
  </si>
  <si>
    <t>jscmila</t>
  </si>
  <si>
    <t>Jessica Mila Agnesia</t>
  </si>
  <si>
    <t>84.6K</t>
  </si>
  <si>
    <t>jessica.syj</t>
  </si>
  <si>
    <t>Jessica Jung</t>
  </si>
  <si>
    <t>189.5K</t>
  </si>
  <si>
    <t>mirandacosgrove</t>
  </si>
  <si>
    <t>Miranda Cosgrove</t>
  </si>
  <si>
    <t>163.7K</t>
  </si>
  <si>
    <t>kareenakapoorkhan</t>
  </si>
  <si>
    <t>Kareena Kapoor Khan</t>
  </si>
  <si>
    <t>210.4K</t>
  </si>
  <si>
    <t>watanabenaomi703</t>
  </si>
  <si>
    <t>渡辺直美　Naomi watanabe</t>
  </si>
  <si>
    <t>Japan</t>
  </si>
  <si>
    <t>235.2K</t>
  </si>
  <si>
    <t>yuzi_chahal23</t>
  </si>
  <si>
    <t>Yuzvendra Chahal</t>
  </si>
  <si>
    <t>249.6K</t>
  </si>
  <si>
    <t>kyliecosmetics</t>
  </si>
  <si>
    <t>Kylie Cosmetics</t>
  </si>
  <si>
    <t>65.1K</t>
  </si>
  <si>
    <t>ridwankamil</t>
  </si>
  <si>
    <t>Ridwan Kamil</t>
  </si>
  <si>
    <t>85.1K</t>
  </si>
  <si>
    <t>ansufati</t>
  </si>
  <si>
    <t>Ansu Fati</t>
  </si>
  <si>
    <t>Spain</t>
  </si>
  <si>
    <t>180.2K</t>
  </si>
  <si>
    <t>haniaheheofficial</t>
  </si>
  <si>
    <t>Hania Aamir 哈尼亚·阿米尔</t>
  </si>
  <si>
    <t>Pakistan</t>
  </si>
  <si>
    <t>360.4K</t>
  </si>
  <si>
    <t>jacksepticeye</t>
  </si>
  <si>
    <t>Jacksepticeye</t>
  </si>
  <si>
    <t>268.2K</t>
  </si>
  <si>
    <t>nidhhiagerwal</t>
  </si>
  <si>
    <t>Nidhhi Agerwal 🌟</t>
  </si>
  <si>
    <t>79.2K</t>
  </si>
  <si>
    <t>nadin_serovski</t>
  </si>
  <si>
    <t>Nadin Serovski</t>
  </si>
  <si>
    <t>189.3K</t>
  </si>
  <si>
    <t>nashgrier</t>
  </si>
  <si>
    <t>Nash Grier</t>
  </si>
  <si>
    <t>106.3K</t>
  </si>
  <si>
    <t>landonorris</t>
  </si>
  <si>
    <t>Lando Norris</t>
  </si>
  <si>
    <t>334.3K</t>
  </si>
  <si>
    <t>Racing Sports</t>
  </si>
  <si>
    <t>sofia9__official</t>
  </si>
  <si>
    <t>SOFIA ANSARI</t>
  </si>
  <si>
    <t>193.1K</t>
  </si>
  <si>
    <t>canyaman</t>
  </si>
  <si>
    <t>Can Yaman</t>
  </si>
  <si>
    <t>197.9K</t>
  </si>
  <si>
    <t>kashikakapoor09</t>
  </si>
  <si>
    <t>Kashika Kapoor</t>
  </si>
  <si>
    <t>236.1K</t>
  </si>
  <si>
    <t>soycintiacossio</t>
  </si>
  <si>
    <t>Cintia Cossio</t>
  </si>
  <si>
    <t>335.3K</t>
  </si>
  <si>
    <t>urassayas</t>
  </si>
  <si>
    <t>Urassaya Sperbund</t>
  </si>
  <si>
    <t>Thailand</t>
  </si>
  <si>
    <t>160.1K</t>
  </si>
  <si>
    <t>cobratate</t>
  </si>
  <si>
    <t>Emory Andrew Tate III</t>
  </si>
  <si>
    <t>Romania</t>
  </si>
  <si>
    <t>311K</t>
  </si>
  <si>
    <t>julienco_</t>
  </si>
  <si>
    <t>! Julian</t>
  </si>
  <si>
    <t>Germany</t>
  </si>
  <si>
    <t>294.1K</t>
  </si>
  <si>
    <t>_hakkencoser_</t>
  </si>
  <si>
    <t>Hakken 八犬</t>
  </si>
  <si>
    <t>511.8K</t>
  </si>
  <si>
    <t>juliabarretto</t>
  </si>
  <si>
    <t>Julia</t>
  </si>
  <si>
    <t>159.3K</t>
  </si>
  <si>
    <t>bugatti</t>
  </si>
  <si>
    <t>BUGATTI</t>
  </si>
  <si>
    <t>100.8K</t>
  </si>
  <si>
    <t>joerogan</t>
  </si>
  <si>
    <t>Joe Rogan</t>
  </si>
  <si>
    <t>105.5K</t>
  </si>
  <si>
    <t>tontawan</t>
  </si>
  <si>
    <t>ตู / t u 🌻(•ө•)ෆ⃛</t>
  </si>
  <si>
    <t>459.1K</t>
  </si>
  <si>
    <t>timatiofficial</t>
  </si>
  <si>
    <t>13</t>
  </si>
  <si>
    <t>91.5K</t>
  </si>
  <si>
    <t>jayshetty</t>
  </si>
  <si>
    <t>Jay Shetty</t>
  </si>
  <si>
    <t>152.5K</t>
  </si>
  <si>
    <t>silambarasantrofficial</t>
  </si>
  <si>
    <t>Silambarasan TR</t>
  </si>
  <si>
    <t>169.6K</t>
  </si>
  <si>
    <t>nameisnani</t>
  </si>
  <si>
    <t>Nani</t>
  </si>
  <si>
    <t>387.2K</t>
  </si>
  <si>
    <t>tommyinnit</t>
  </si>
  <si>
    <t>TommyInnit</t>
  </si>
  <si>
    <t>France</t>
  </si>
  <si>
    <t>567.8K</t>
  </si>
  <si>
    <t>therealjosephmorgan</t>
  </si>
  <si>
    <t>Joseph Morgan</t>
  </si>
  <si>
    <t>219.8K</t>
  </si>
  <si>
    <t>tejasswiprakash</t>
  </si>
  <si>
    <t>Tejasswi Prakash</t>
  </si>
  <si>
    <t>304.4K</t>
  </si>
  <si>
    <t>shahinsamadpoor</t>
  </si>
  <si>
    <t>Shahin Samad poor شاهین صمدپور</t>
  </si>
  <si>
    <t>mario_houses</t>
  </si>
  <si>
    <t>Mario Casas</t>
  </si>
  <si>
    <t>210.1K</t>
  </si>
  <si>
    <t>jeremyrenner</t>
  </si>
  <si>
    <t>Jeremy Renner</t>
  </si>
  <si>
    <t>99.8K</t>
  </si>
  <si>
    <t>ninja</t>
  </si>
  <si>
    <t>User Not Found</t>
  </si>
  <si>
    <t>127.8K</t>
  </si>
  <si>
    <t xml:space="preserve">
 </t>
  </si>
  <si>
    <t>Engagement Category</t>
  </si>
  <si>
    <t>Influencer Tier</t>
  </si>
  <si>
    <t>Fake Influencer Detection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</si>
</sst>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horizontal="center"/>
    </xf>
  </cellXfs>
  <cellStyles count="1">
    <cellStyle name="Normal" xfId="0" builtinId="0"/>
  </cellStyles>
  <dxfs count="6">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Country Distribution</a:t>
            </a:r>
            <a:endParaRPr lang="en-US"/>
          </a:p>
        </c:rich>
      </c:tx>
      <c:layout>
        <c:manualLayout>
          <c:xMode val="edge"/>
          <c:yMode val="edge"/>
          <c:x val="0.35386992059396383"/>
          <c:y val="0.10083114610673666"/>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39556780402449698"/>
          <c:y val="0.26492125984251969"/>
          <c:w val="0.51980249343832019"/>
          <c:h val="0.62767935258092733"/>
        </c:manualLayout>
      </c:layout>
      <c:barChart>
        <c:barDir val="bar"/>
        <c:grouping val="clustered"/>
        <c:varyColors val="0"/>
        <c:ser>
          <c:idx val="0"/>
          <c:order val="0"/>
          <c:tx>
            <c:v>Total</c:v>
          </c:tx>
          <c:spPr>
            <a:solidFill>
              <a:schemeClr val="accent1"/>
            </a:solidFill>
            <a:ln>
              <a:noFill/>
            </a:ln>
            <a:effectLst/>
          </c:spPr>
          <c:invertIfNegative val="0"/>
          <c:cat>
            <c:strLit>
              <c:ptCount val="21"/>
              <c:pt idx="0">
                <c:v>Brazil</c:v>
              </c:pt>
              <c:pt idx="1">
                <c:v>Colombia</c:v>
              </c:pt>
              <c:pt idx="2">
                <c:v>Egypt</c:v>
              </c:pt>
              <c:pt idx="3">
                <c:v>France</c:v>
              </c:pt>
              <c:pt idx="4">
                <c:v>Germany</c:v>
              </c:pt>
              <c:pt idx="5">
                <c:v>India</c:v>
              </c:pt>
              <c:pt idx="6">
                <c:v>Indonesia</c:v>
              </c:pt>
              <c:pt idx="7">
                <c:v>Iran</c:v>
              </c:pt>
              <c:pt idx="8">
                <c:v>Italy</c:v>
              </c:pt>
              <c:pt idx="9">
                <c:v>Japan</c:v>
              </c:pt>
              <c:pt idx="10">
                <c:v>Mexico</c:v>
              </c:pt>
              <c:pt idx="11">
                <c:v>Pakistan</c:v>
              </c:pt>
              <c:pt idx="12">
                <c:v>Philippines</c:v>
              </c:pt>
              <c:pt idx="13">
                <c:v>Romania</c:v>
              </c:pt>
              <c:pt idx="14">
                <c:v>Russia</c:v>
              </c:pt>
              <c:pt idx="15">
                <c:v>South Korea</c:v>
              </c:pt>
              <c:pt idx="16">
                <c:v>Spain</c:v>
              </c:pt>
              <c:pt idx="17">
                <c:v>Thailand</c:v>
              </c:pt>
              <c:pt idx="18">
                <c:v>Turkey</c:v>
              </c:pt>
              <c:pt idx="19">
                <c:v>United Kingdom</c:v>
              </c:pt>
              <c:pt idx="20">
                <c:v>United States</c:v>
              </c:pt>
            </c:strLit>
          </c:cat>
          <c:val>
            <c:numLit>
              <c:formatCode>General</c:formatCode>
              <c:ptCount val="21"/>
              <c:pt idx="0">
                <c:v>34</c:v>
              </c:pt>
              <c:pt idx="1">
                <c:v>5</c:v>
              </c:pt>
              <c:pt idx="2">
                <c:v>3</c:v>
              </c:pt>
              <c:pt idx="3">
                <c:v>1</c:v>
              </c:pt>
              <c:pt idx="4">
                <c:v>1</c:v>
              </c:pt>
              <c:pt idx="5">
                <c:v>47</c:v>
              </c:pt>
              <c:pt idx="6">
                <c:v>16</c:v>
              </c:pt>
              <c:pt idx="7">
                <c:v>2</c:v>
              </c:pt>
              <c:pt idx="8">
                <c:v>5</c:v>
              </c:pt>
              <c:pt idx="9">
                <c:v>1</c:v>
              </c:pt>
              <c:pt idx="10">
                <c:v>5</c:v>
              </c:pt>
              <c:pt idx="11">
                <c:v>1</c:v>
              </c:pt>
              <c:pt idx="12">
                <c:v>5</c:v>
              </c:pt>
              <c:pt idx="13">
                <c:v>1</c:v>
              </c:pt>
              <c:pt idx="14">
                <c:v>6</c:v>
              </c:pt>
              <c:pt idx="15">
                <c:v>1</c:v>
              </c:pt>
              <c:pt idx="16">
                <c:v>2</c:v>
              </c:pt>
              <c:pt idx="17">
                <c:v>2</c:v>
              </c:pt>
              <c:pt idx="18">
                <c:v>2</c:v>
              </c:pt>
              <c:pt idx="19">
                <c:v>1</c:v>
              </c:pt>
              <c:pt idx="20">
                <c:v>72</c:v>
              </c:pt>
            </c:numLit>
          </c:val>
        </c:ser>
        <c:dLbls>
          <c:showLegendKey val="0"/>
          <c:showVal val="0"/>
          <c:showCatName val="0"/>
          <c:showSerName val="0"/>
          <c:showPercent val="0"/>
          <c:showBubbleSize val="0"/>
        </c:dLbls>
        <c:gapWidth val="182"/>
        <c:axId val="549315224"/>
        <c:axId val="549321104"/>
      </c:barChart>
      <c:catAx>
        <c:axId val="549315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321104"/>
        <c:crosses val="autoZero"/>
        <c:auto val="1"/>
        <c:lblAlgn val="ctr"/>
        <c:lblOffset val="100"/>
        <c:noMultiLvlLbl val="0"/>
      </c:catAx>
      <c:valAx>
        <c:axId val="54932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315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“Avg Engagement by Category”</a:t>
            </a:r>
            <a:r>
              <a:rPr lang="en-US"/>
              <a:t>l</a:t>
            </a:r>
          </a:p>
        </c:rich>
      </c:tx>
      <c:layout>
        <c:manualLayout>
          <c:xMode val="edge"/>
          <c:yMode val="edge"/>
          <c:x val="0.312076334208224"/>
          <c:y val="9.5814118852673311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1724759405074366"/>
          <c:y val="0.16350346644916397"/>
          <c:w val="0.8107893700787403"/>
          <c:h val="0.34274576235739457"/>
        </c:manualLayout>
      </c:layout>
      <c:barChart>
        <c:barDir val="col"/>
        <c:grouping val="clustered"/>
        <c:varyColors val="0"/>
        <c:ser>
          <c:idx val="0"/>
          <c:order val="0"/>
          <c:tx>
            <c:v>Total</c:v>
          </c:tx>
          <c:spPr>
            <a:solidFill>
              <a:schemeClr val="accent1"/>
            </a:solidFill>
            <a:ln>
              <a:noFill/>
            </a:ln>
            <a:effectLst/>
          </c:spPr>
          <c:invertIfNegative val="0"/>
          <c:cat>
            <c:strLit>
              <c:ptCount val="23"/>
              <c:pt idx="0">
                <c:v>Beauty</c:v>
              </c:pt>
              <c:pt idx="1">
                <c:v>Business &amp; Careers</c:v>
              </c:pt>
              <c:pt idx="2">
                <c:v>Cars &amp; Motorbikes</c:v>
              </c:pt>
              <c:pt idx="3">
                <c:v>Cinema &amp; Actors/actresses</c:v>
              </c:pt>
              <c:pt idx="4">
                <c:v>Clothing &amp; Outfits</c:v>
              </c:pt>
              <c:pt idx="5">
                <c:v>Computers &amp; Gadgets</c:v>
              </c:pt>
              <c:pt idx="6">
                <c:v>Education</c:v>
              </c:pt>
              <c:pt idx="7">
                <c:v>Family</c:v>
              </c:pt>
              <c:pt idx="8">
                <c:v>Fashion</c:v>
              </c:pt>
              <c:pt idx="9">
                <c:v>Finance &amp; Economics</c:v>
              </c:pt>
              <c:pt idx="10">
                <c:v>Fitness &amp; Gym</c:v>
              </c:pt>
              <c:pt idx="11">
                <c:v>Humor &amp; Fun &amp; Happiness</c:v>
              </c:pt>
              <c:pt idx="12">
                <c:v>Lifestyle</c:v>
              </c:pt>
              <c:pt idx="13">
                <c:v>Literature &amp; Journalism</c:v>
              </c:pt>
              <c:pt idx="14">
                <c:v>Luxury</c:v>
              </c:pt>
              <c:pt idx="15">
                <c:v>Modeling</c:v>
              </c:pt>
              <c:pt idx="16">
                <c:v>Nature &amp; landscapes</c:v>
              </c:pt>
              <c:pt idx="17">
                <c:v>Photography</c:v>
              </c:pt>
              <c:pt idx="18">
                <c:v>Racing Sports</c:v>
              </c:pt>
              <c:pt idx="19">
                <c:v>Science</c:v>
              </c:pt>
              <c:pt idx="20">
                <c:v>Shows</c:v>
              </c:pt>
              <c:pt idx="21">
                <c:v>Sports with a ball</c:v>
              </c:pt>
              <c:pt idx="22">
                <c:v>Winter sports</c:v>
              </c:pt>
            </c:strLit>
          </c:cat>
          <c:val>
            <c:numLit>
              <c:formatCode>General</c:formatCode>
              <c:ptCount val="23"/>
              <c:pt idx="0">
                <c:v>437935</c:v>
              </c:pt>
              <c:pt idx="1">
                <c:v>170000</c:v>
              </c:pt>
              <c:pt idx="2">
                <c:v>136400</c:v>
              </c:pt>
              <c:pt idx="3">
                <c:v>390842.85714285716</c:v>
              </c:pt>
              <c:pt idx="4">
                <c:v>499300</c:v>
              </c:pt>
              <c:pt idx="5">
                <c:v>382500</c:v>
              </c:pt>
              <c:pt idx="6">
                <c:v>555500</c:v>
              </c:pt>
              <c:pt idx="7">
                <c:v>426100</c:v>
              </c:pt>
              <c:pt idx="8">
                <c:v>264066.66666666669</c:v>
              </c:pt>
              <c:pt idx="9">
                <c:v>342866.66666666669</c:v>
              </c:pt>
              <c:pt idx="10">
                <c:v>402033.33333333331</c:v>
              </c:pt>
              <c:pt idx="11">
                <c:v>545383.33333333337</c:v>
              </c:pt>
              <c:pt idx="12">
                <c:v>518615</c:v>
              </c:pt>
              <c:pt idx="13">
                <c:v>341512.5</c:v>
              </c:pt>
              <c:pt idx="14">
                <c:v>115600</c:v>
              </c:pt>
              <c:pt idx="15">
                <c:v>423626.31578947371</c:v>
              </c:pt>
              <c:pt idx="16">
                <c:v>116800</c:v>
              </c:pt>
              <c:pt idx="17">
                <c:v>634162.5</c:v>
              </c:pt>
              <c:pt idx="18">
                <c:v>421200</c:v>
              </c:pt>
              <c:pt idx="19">
                <c:v>571300</c:v>
              </c:pt>
              <c:pt idx="20">
                <c:v>416480.76923076925</c:v>
              </c:pt>
              <c:pt idx="21">
                <c:v>336410</c:v>
              </c:pt>
              <c:pt idx="22">
                <c:v>459900</c:v>
              </c:pt>
            </c:numLit>
          </c:val>
        </c:ser>
        <c:dLbls>
          <c:showLegendKey val="0"/>
          <c:showVal val="0"/>
          <c:showCatName val="0"/>
          <c:showSerName val="0"/>
          <c:showPercent val="0"/>
          <c:showBubbleSize val="0"/>
        </c:dLbls>
        <c:gapWidth val="219"/>
        <c:overlap val="-27"/>
        <c:axId val="458889288"/>
        <c:axId val="458890464"/>
      </c:barChart>
      <c:catAx>
        <c:axId val="458889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890464"/>
        <c:crosses val="autoZero"/>
        <c:auto val="1"/>
        <c:lblAlgn val="ctr"/>
        <c:lblOffset val="100"/>
        <c:noMultiLvlLbl val="0"/>
      </c:catAx>
      <c:valAx>
        <c:axId val="45889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889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561266205360693"/>
          <c:y val="0.12857657303137751"/>
          <c:w val="0.51906671041119856"/>
          <c:h val="0.65853091280256637"/>
        </c:manualLayout>
      </c:layout>
      <c:bar3DChart>
        <c:barDir val="col"/>
        <c:grouping val="clustered"/>
        <c:varyColors val="0"/>
        <c:ser>
          <c:idx val="0"/>
          <c:order val="0"/>
          <c:tx>
            <c:v>Average of engagement_average</c:v>
          </c:tx>
          <c:spPr>
            <a:solidFill>
              <a:schemeClr val="accent1"/>
            </a:solidFill>
            <a:ln>
              <a:noFill/>
            </a:ln>
            <a:effectLst/>
            <a:sp3d/>
          </c:spPr>
          <c:invertIfNegative val="0"/>
          <c:cat>
            <c:strLit>
              <c:ptCount val="2"/>
              <c:pt idx="0">
                <c:v>Mega</c:v>
              </c:pt>
              <c:pt idx="1">
                <c:v>(blank)</c:v>
              </c:pt>
            </c:strLit>
          </c:cat>
          <c:val>
            <c:numLit>
              <c:formatCode>General</c:formatCode>
              <c:ptCount val="2"/>
              <c:pt idx="0">
                <c:v>428425.94339622639</c:v>
              </c:pt>
              <c:pt idx="1">
                <c:v>477500</c:v>
              </c:pt>
            </c:numLit>
          </c:val>
        </c:ser>
        <c:ser>
          <c:idx val="1"/>
          <c:order val="1"/>
          <c:tx>
            <c:v>Average of subscribers</c:v>
          </c:tx>
          <c:spPr>
            <a:solidFill>
              <a:schemeClr val="accent2"/>
            </a:solidFill>
            <a:ln>
              <a:noFill/>
            </a:ln>
            <a:effectLst/>
            <a:sp3d/>
          </c:spPr>
          <c:invertIfNegative val="0"/>
          <c:cat>
            <c:strLit>
              <c:ptCount val="2"/>
              <c:pt idx="0">
                <c:v>Mega</c:v>
              </c:pt>
              <c:pt idx="1">
                <c:v>(blank)</c:v>
              </c:pt>
            </c:strLit>
          </c:cat>
          <c:val>
            <c:numLit>
              <c:formatCode>General</c:formatCode>
              <c:ptCount val="2"/>
              <c:pt idx="0">
                <c:v>21248113.207547169</c:v>
              </c:pt>
              <c:pt idx="1">
                <c:v>335900000</c:v>
              </c:pt>
            </c:numLit>
          </c:val>
        </c:ser>
        <c:dLbls>
          <c:showLegendKey val="0"/>
          <c:showVal val="0"/>
          <c:showCatName val="0"/>
          <c:showSerName val="0"/>
          <c:showPercent val="0"/>
          <c:showBubbleSize val="0"/>
        </c:dLbls>
        <c:gapWidth val="150"/>
        <c:shape val="box"/>
        <c:axId val="458886152"/>
        <c:axId val="458886544"/>
        <c:axId val="0"/>
      </c:bar3DChart>
      <c:catAx>
        <c:axId val="458886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886544"/>
        <c:crosses val="autoZero"/>
        <c:auto val="1"/>
        <c:lblAlgn val="ctr"/>
        <c:lblOffset val="100"/>
        <c:noMultiLvlLbl val="0"/>
      </c:catAx>
      <c:valAx>
        <c:axId val="45888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886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Influencers</a:t>
            </a:r>
            <a:endParaRPr lang="en-US"/>
          </a:p>
        </c:rich>
      </c:tx>
      <c:layout>
        <c:manualLayout>
          <c:xMode val="edge"/>
          <c:yMode val="edge"/>
          <c:x val="0.37438888888888888"/>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davidbeckham</c:v>
              </c:pt>
              <c:pt idx="1">
                <c:v>emmawatson</c:v>
              </c:pt>
              <c:pt idx="2">
                <c:v>khloekardashian</c:v>
              </c:pt>
              <c:pt idx="3">
                <c:v>marvel</c:v>
              </c:pt>
              <c:pt idx="4">
                <c:v>nasa</c:v>
              </c:pt>
              <c:pt idx="5">
                <c:v>natgeo</c:v>
              </c:pt>
              <c:pt idx="6">
                <c:v>nike</c:v>
              </c:pt>
              <c:pt idx="7">
                <c:v>tatawerneck</c:v>
              </c:pt>
              <c:pt idx="8">
                <c:v>theellenshow</c:v>
              </c:pt>
              <c:pt idx="9">
                <c:v>therock</c:v>
              </c:pt>
            </c:strLit>
          </c:cat>
          <c:val>
            <c:numLit>
              <c:formatCode>General</c:formatCode>
              <c:ptCount val="10"/>
              <c:pt idx="0">
                <c:v>75100000</c:v>
              </c:pt>
              <c:pt idx="1">
                <c:v>67500000</c:v>
              </c:pt>
              <c:pt idx="2">
                <c:v>268400000</c:v>
              </c:pt>
              <c:pt idx="3">
                <c:v>66400000</c:v>
              </c:pt>
              <c:pt idx="4">
                <c:v>82300000</c:v>
              </c:pt>
              <c:pt idx="5">
                <c:v>238300000</c:v>
              </c:pt>
              <c:pt idx="6">
                <c:v>235700000</c:v>
              </c:pt>
              <c:pt idx="7">
                <c:v>54100000</c:v>
              </c:pt>
              <c:pt idx="8">
                <c:v>125100000</c:v>
              </c:pt>
              <c:pt idx="9">
                <c:v>335900000</c:v>
              </c:pt>
            </c:numLit>
          </c:val>
        </c:ser>
        <c:dLbls>
          <c:showLegendKey val="0"/>
          <c:showVal val="0"/>
          <c:showCatName val="0"/>
          <c:showSerName val="0"/>
          <c:showPercent val="0"/>
          <c:showBubbleSize val="0"/>
        </c:dLbls>
        <c:gapWidth val="182"/>
        <c:axId val="549321888"/>
        <c:axId val="549316792"/>
      </c:barChart>
      <c:catAx>
        <c:axId val="54932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316792"/>
        <c:crosses val="autoZero"/>
        <c:auto val="1"/>
        <c:lblAlgn val="ctr"/>
        <c:lblOffset val="100"/>
        <c:noMultiLvlLbl val="0"/>
      </c:catAx>
      <c:valAx>
        <c:axId val="549316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321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66674</xdr:rowOff>
    </xdr:from>
    <xdr:to>
      <xdr:col>15</xdr:col>
      <xdr:colOff>495300</xdr:colOff>
      <xdr:row>2</xdr:row>
      <xdr:rowOff>190499</xdr:rowOff>
    </xdr:to>
    <xdr:sp macro="" textlink="">
      <xdr:nvSpPr>
        <xdr:cNvPr id="2" name="Rounded Rectangle 1"/>
        <xdr:cNvSpPr/>
      </xdr:nvSpPr>
      <xdr:spPr>
        <a:xfrm>
          <a:off x="133350" y="66674"/>
          <a:ext cx="9505950" cy="5048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Instagram Influencer Analytics Dashboard</a:t>
          </a:r>
        </a:p>
      </xdr:txBody>
    </xdr:sp>
    <xdr:clientData/>
  </xdr:twoCellAnchor>
  <xdr:twoCellAnchor>
    <xdr:from>
      <xdr:col>0</xdr:col>
      <xdr:colOff>0</xdr:colOff>
      <xdr:row>3</xdr:row>
      <xdr:rowOff>161925</xdr:rowOff>
    </xdr:from>
    <xdr:to>
      <xdr:col>6</xdr:col>
      <xdr:colOff>180974</xdr:colOff>
      <xdr:row>17</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180975</xdr:colOff>
      <xdr:row>3</xdr:row>
      <xdr:rowOff>171451</xdr:rowOff>
    </xdr:from>
    <xdr:to>
      <xdr:col>12</xdr:col>
      <xdr:colOff>476250</xdr:colOff>
      <xdr:row>15</xdr:row>
      <xdr:rowOff>133350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15</xdr:row>
      <xdr:rowOff>133350</xdr:rowOff>
    </xdr:from>
    <xdr:to>
      <xdr:col>5</xdr:col>
      <xdr:colOff>95251</xdr:colOff>
      <xdr:row>30</xdr:row>
      <xdr:rowOff>85725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142876</xdr:colOff>
      <xdr:row>15</xdr:row>
      <xdr:rowOff>114300</xdr:rowOff>
    </xdr:from>
    <xdr:to>
      <xdr:col>10</xdr:col>
      <xdr:colOff>19050</xdr:colOff>
      <xdr:row>30</xdr:row>
      <xdr:rowOff>57150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495300</xdr:colOff>
      <xdr:row>3</xdr:row>
      <xdr:rowOff>180976</xdr:rowOff>
    </xdr:from>
    <xdr:to>
      <xdr:col>15</xdr:col>
      <xdr:colOff>542924</xdr:colOff>
      <xdr:row>15</xdr:row>
      <xdr:rowOff>152400</xdr:rowOff>
    </xdr:to>
    <mc:AlternateContent xmlns:mc="http://schemas.openxmlformats.org/markup-compatibility/2006">
      <mc:Choice xmlns:a14="http://schemas.microsoft.com/office/drawing/2010/main" Requires="a14">
        <xdr:graphicFrame macro="">
          <xdr:nvGraphicFramePr>
            <xdr:cNvPr id="7" name="category_1 1"/>
            <xdr:cNvGraphicFramePr/>
          </xdr:nvGraphicFramePr>
          <xdr:xfrm>
            <a:off x="0" y="0"/>
            <a:ext cx="0" cy="0"/>
          </xdr:xfrm>
          <a:graphic>
            <a:graphicData uri="http://schemas.microsoft.com/office/drawing/2010/slicer">
              <sle:slicer xmlns:sle="http://schemas.microsoft.com/office/drawing/2010/slicer" name="category_1 1"/>
            </a:graphicData>
          </a:graphic>
        </xdr:graphicFrame>
      </mc:Choice>
      <mc:Fallback>
        <xdr:sp macro="" textlink="">
          <xdr:nvSpPr>
            <xdr:cNvPr id="0" name=""/>
            <xdr:cNvSpPr>
              <a:spLocks noTextEdit="1"/>
            </xdr:cNvSpPr>
          </xdr:nvSpPr>
          <xdr:spPr>
            <a:xfrm>
              <a:off x="7810500" y="752476"/>
              <a:ext cx="1876424" cy="2257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28575</xdr:colOff>
      <xdr:row>15</xdr:row>
      <xdr:rowOff>114299</xdr:rowOff>
    </xdr:from>
    <xdr:to>
      <xdr:col>13</xdr:col>
      <xdr:colOff>28575</xdr:colOff>
      <xdr:row>29</xdr:row>
      <xdr:rowOff>161925</xdr:rowOff>
    </xdr:to>
    <mc:AlternateContent xmlns:mc="http://schemas.openxmlformats.org/markup-compatibility/2006">
      <mc:Choice xmlns:a14="http://schemas.microsoft.com/office/drawing/2010/main" Requires="a14">
        <xdr:graphicFrame macro="">
          <xdr:nvGraphicFramePr>
            <xdr:cNvPr id="8" name="Influencer Tier 1"/>
            <xdr:cNvGraphicFramePr/>
          </xdr:nvGraphicFramePr>
          <xdr:xfrm>
            <a:off x="0" y="0"/>
            <a:ext cx="0" cy="0"/>
          </xdr:xfrm>
          <a:graphic>
            <a:graphicData uri="http://schemas.microsoft.com/office/drawing/2010/slicer">
              <sle:slicer xmlns:sle="http://schemas.microsoft.com/office/drawing/2010/slicer" name="Influencer Tier 1"/>
            </a:graphicData>
          </a:graphic>
        </xdr:graphicFrame>
      </mc:Choice>
      <mc:Fallback>
        <xdr:sp macro="" textlink="">
          <xdr:nvSpPr>
            <xdr:cNvPr id="0" name=""/>
            <xdr:cNvSpPr>
              <a:spLocks noTextEdit="1"/>
            </xdr:cNvSpPr>
          </xdr:nvSpPr>
          <xdr:spPr>
            <a:xfrm>
              <a:off x="6124575" y="2971799"/>
              <a:ext cx="1828800" cy="2714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xdr:colOff>
      <xdr:row>15</xdr:row>
      <xdr:rowOff>104774</xdr:rowOff>
    </xdr:from>
    <xdr:to>
      <xdr:col>15</xdr:col>
      <xdr:colOff>533400</xdr:colOff>
      <xdr:row>29</xdr:row>
      <xdr:rowOff>152399</xdr:rowOff>
    </xdr:to>
    <mc:AlternateContent xmlns:mc="http://schemas.openxmlformats.org/markup-compatibility/2006">
      <mc:Choice xmlns:a14="http://schemas.microsoft.com/office/drawing/2010/main" Requires="a14">
        <xdr:graphicFrame macro="">
          <xdr:nvGraphicFramePr>
            <xdr:cNvPr id="9" name="audience_country 1"/>
            <xdr:cNvGraphicFramePr/>
          </xdr:nvGraphicFramePr>
          <xdr:xfrm>
            <a:off x="0" y="0"/>
            <a:ext cx="0" cy="0"/>
          </xdr:xfrm>
          <a:graphic>
            <a:graphicData uri="http://schemas.microsoft.com/office/drawing/2010/slicer">
              <sle:slicer xmlns:sle="http://schemas.microsoft.com/office/drawing/2010/slicer" name="audience_country 1"/>
            </a:graphicData>
          </a:graphic>
        </xdr:graphicFrame>
      </mc:Choice>
      <mc:Fallback>
        <xdr:sp macro="" textlink="">
          <xdr:nvSpPr>
            <xdr:cNvPr id="0" name=""/>
            <xdr:cNvSpPr>
              <a:spLocks noTextEdit="1"/>
            </xdr:cNvSpPr>
          </xdr:nvSpPr>
          <xdr:spPr>
            <a:xfrm>
              <a:off x="7953375" y="2962274"/>
              <a:ext cx="1724025" cy="2714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17</xdr:col>
      <xdr:colOff>142875</xdr:colOff>
      <xdr:row>7</xdr:row>
      <xdr:rowOff>38099</xdr:rowOff>
    </xdr:from>
    <xdr:ext cx="466725" cy="266701"/>
    <xdr:sp macro="" textlink="">
      <xdr:nvSpPr>
        <xdr:cNvPr id="5" name="TextBox 4"/>
        <xdr:cNvSpPr txBox="1"/>
      </xdr:nvSpPr>
      <xdr:spPr>
        <a:xfrm>
          <a:off x="24117300" y="1562099"/>
          <a:ext cx="466725" cy="266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100" b="1"/>
        </a:p>
      </xdr:txBody>
    </xdr:sp>
    <xdr:clientData/>
  </xdr:oneCellAnchor>
  <xdr:oneCellAnchor>
    <xdr:from>
      <xdr:col>17</xdr:col>
      <xdr:colOff>438150</xdr:colOff>
      <xdr:row>3</xdr:row>
      <xdr:rowOff>19050</xdr:rowOff>
    </xdr:from>
    <xdr:ext cx="184731" cy="264560"/>
    <xdr:sp macro="" textlink="">
      <xdr:nvSpPr>
        <xdr:cNvPr id="7" name="TextBox 6"/>
        <xdr:cNvSpPr txBox="1"/>
      </xdr:nvSpPr>
      <xdr:spPr>
        <a:xfrm>
          <a:off x="24412575" y="781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17.465955555555" createdVersion="5" refreshedVersion="5" minRefreshableVersion="3" recordCount="213">
  <cacheSource type="worksheet">
    <worksheetSource name="Table1"/>
  </cacheSource>
  <cacheFields count="14">
    <cacheField name="_x000a_ " numFmtId="0">
      <sharedItems containsSemiMixedTypes="0" containsString="0" containsNumber="1" containsInteger="1" minValue="38" maxValue="997"/>
    </cacheField>
    <cacheField name="instagram_name" numFmtId="0">
      <sharedItems count="209">
        <s v="therock"/>
        <s v="khloekardashian"/>
        <s v="nasa"/>
        <s v="dishapatani"/>
        <s v="virginia"/>
        <s v="davidbeckham"/>
        <s v="rohittt_09_"/>
        <s v="nike"/>
        <s v="luisitocomunica"/>
        <s v="miakhalifa"/>
        <s v="vinijr"/>
        <s v="natgeo"/>
        <s v="kapilsharma"/>
        <s v="norafatehi"/>
        <s v="emmawatson"/>
        <s v="erling.haaland"/>
        <s v="strangerthingstv"/>
        <s v="zachking"/>
        <s v="tatawerneck"/>
        <s v="carryminati"/>
        <s v="sydney_sweeney"/>
        <s v="gatenm123"/>
        <s v="awez_darbar"/>
        <s v="sunnyleone"/>
        <s v="xxxibgdrgn"/>
        <s v="ranveersingh"/>
        <s v="jairmessiasbolsonaro"/>
        <s v="janhvikapoor"/>
        <s v="keerthysureshofficial"/>
        <s v="samoylovaoxana"/>
        <s v="sidmalhotra"/>
        <s v="realbarbarapalvin"/>
        <s v="marvel"/>
        <s v="mr_faisu_07"/>
        <s v="sachintendulkar"/>
        <s v="iammichelemorroneofficial"/>
        <s v="greeicy"/>
        <s v="imsebastianstan"/>
        <s v="larasilva"/>
        <s v="neslihanatagul"/>
        <s v="arigameplays"/>
        <s v="nct_dream"/>
        <s v="hassan_reyvandi"/>
        <s v="rohitsharma45"/>
        <s v="shaq"/>
        <s v="michelleobama"/>
        <s v="joeyking"/>
        <s v="stephencurry30"/>
        <s v="lizasoberano"/>
        <s v="jadepicon"/>
        <s v="wow_kimsohyun"/>
        <s v="caradelevingne"/>
        <s v="c.syresmith"/>
        <s v="barackobama"/>
        <s v="fabriziorom"/>
        <s v="lilyachty"/>
        <s v="hshq"/>
        <s v="deiveleonardo"/>
        <s v="yasmine_sabri"/>
        <s v="anyataylorjoy"/>
        <s v="abdevilliers17"/>
        <s v="krisjenner"/>
        <s v="melo"/>
        <s v="_seorina"/>
        <s v="marktuan"/>
        <s v="evcenf"/>
        <s v="shaymitchell"/>
        <s v="mathildtantot"/>
        <s v="leaelui"/>
        <s v="jennaortega"/>
        <s v="florencepugh"/>
        <s v="loud_victor"/>
        <s v="vickykaushal09"/>
        <s v="tiffanyyoungofficial"/>
        <s v="jailyneojeda"/>
        <s v="bernardokath"/>
        <s v="gisele"/>
        <s v="nazriyafahadh"/>
        <s v="anjimaxuofficially"/>
        <s v="euphoria"/>
        <s v="kingbach"/>
        <s v="dra.deolanebezerra"/>
        <s v="lexibrookerivera"/>
        <s v="klaythompson"/>
        <s v="sav.labrant"/>
        <s v="srinidhi_shetty"/>
        <s v="warriors"/>
        <s v="phoebejtonkin"/>
        <s v="nita_shilimkar"/>
        <s v="gessicakayane"/>
        <s v="dew_jsu"/>
        <s v="itsmarziapie"/>
        <s v="hugogloss"/>
        <s v="sportscenter"/>
        <s v="actorprabhas"/>
        <s v="theellenshow"/>
        <s v="avrillavigne"/>
        <s v="rizkybillar"/>
        <s v="victoriajustice"/>
        <s v="egupta"/>
        <s v="andreavaldirisos"/>
        <s v="netflixbrasil"/>
        <s v="piawurtzbach"/>
        <s v="lacasadepapel"/>
        <s v="cvillaloboss"/>
        <s v="jeromepolin"/>
        <s v="sarahhyland"/>
        <s v="aslisona"/>
        <s v="lamborghini"/>
        <s v="taylor_hill"/>
        <s v="sooyoungchoi"/>
        <s v="chrissyteigen"/>
        <s v="lizzobeeating"/>
        <s v="39saku_chan"/>
        <s v="dbook"/>
        <s v="iampauloandre"/>
        <s v="oprah"/>
        <s v="beautifuldestinations"/>
        <s v="madisonbaileybabe"/>
        <s v="rishabpant"/>
        <s v="willevy"/>
        <s v="pokimanelol"/>
        <s v="jamorant"/>
        <s v="amadorat"/>
        <s v="demirose"/>
        <s v="apple"/>
        <s v="grantgust"/>
        <s v="netflix"/>
        <s v="ederbez"/>
        <s v="amybethmcnulty"/>
        <s v="juki_lop"/>
        <s v="simonettalein"/>
        <s v="adrianalima"/>
        <s v="sonamkapoor"/>
        <s v="troyesivan"/>
        <s v="schwarzenegger"/>
        <s v="_abu_saalim_"/>
        <s v="trentarnold66"/>
        <s v="earthpix"/>
        <s v="maneskinofficial"/>
        <s v="voguemagazine"/>
        <s v="valentinazenere"/>
        <s v="nikefootball"/>
        <s v="candiceking"/>
        <s v="onwardwanna"/>
        <s v="filiperet"/>
        <s v="ahmedabohashima"/>
        <s v="borodylia"/>
        <s v="jaspritb1"/>
        <s v="spacex"/>
        <s v="chaelincl"/>
        <s v="paollaoliveirareal"/>
        <s v="lance210"/>
        <s v="jessicajane99"/>
        <s v="dhanashree9"/>
        <s v="blythe"/>
        <s v="anastasiya_kvitko"/>
        <s v="alvaromorata"/>
        <s v="letthelordbewithyou"/>
        <s v="jimmyfallon"/>
        <s v="sofiaalcastro"/>
        <s v="ler_chek"/>
        <s v="iiqraaziz"/>
        <s v="maitreyiramakrishnan"/>
        <s v="priyankaamohanofficial"/>
        <s v="dukeandduchessofcambridge"/>
        <s v="laurenlondon"/>
        <s v="jordynwoods"/>
        <s v="larray"/>
        <s v="dorra_zarrouk"/>
        <s v="cnn"/>
        <s v="jscmila"/>
        <s v="jessica.syj"/>
        <s v="mirandacosgrove"/>
        <s v="kareenakapoorkhan"/>
        <s v="watanabenaomi703"/>
        <s v="yuzi_chahal23"/>
        <s v="kyliecosmetics"/>
        <s v="ridwankamil"/>
        <s v="ansufati"/>
        <s v="haniaheheofficial"/>
        <s v="jacksepticeye"/>
        <s v="nidhhiagerwal"/>
        <s v="nadin_serovski"/>
        <s v="nashgrier"/>
        <s v="landonorris"/>
        <s v="sofia9__official"/>
        <s v="canyaman"/>
        <s v="kashikakapoor09"/>
        <s v="soycintiacossio"/>
        <s v="urassayas"/>
        <s v="cobratate"/>
        <s v="julienco_"/>
        <s v="_hakkencoser_"/>
        <s v="juliabarretto"/>
        <s v="bugatti"/>
        <s v="joerogan"/>
        <s v="tontawan"/>
        <s v="timatiofficial"/>
        <s v="jayshetty"/>
        <s v="silambarasantrofficial"/>
        <s v="nameisnani"/>
        <s v="tommyinnit"/>
        <s v="therealjosephmorgan"/>
        <s v="tejasswiprakash"/>
        <s v="shahinsamadpoor"/>
        <s v="mario_houses"/>
        <s v="jeremyrenner"/>
        <s v="ninja"/>
      </sharedItems>
    </cacheField>
    <cacheField name="_name" numFmtId="0">
      <sharedItems/>
    </cacheField>
    <cacheField name="subscribers" numFmtId="0">
      <sharedItems containsSemiMixedTypes="0" containsString="0" containsNumber="1" containsInteger="1" minValue="3000000" maxValue="335900000"/>
    </cacheField>
    <cacheField name="Fake Influencer Detection" numFmtId="0">
      <sharedItems/>
    </cacheField>
    <cacheField name="audience_country" numFmtId="0">
      <sharedItems count="21">
        <s v="India"/>
        <s v="United States"/>
        <s v="Brazil"/>
        <s v="Mexico"/>
        <s v="Indonesia"/>
        <s v="Russia"/>
        <s v="Colombia"/>
        <s v="Turkey"/>
        <s v="Iran"/>
        <s v="Philippines"/>
        <s v="Italy"/>
        <s v="Egypt"/>
        <s v="South Korea"/>
        <s v="United Kingdom"/>
        <s v="Japan"/>
        <s v="Spain"/>
        <s v="Pakistan"/>
        <s v="Thailand"/>
        <s v="Romania"/>
        <s v="Germany"/>
        <s v="France"/>
      </sharedItems>
    </cacheField>
    <cacheField name="Influencer Tier" numFmtId="0">
      <sharedItems containsBlank="1" count="2">
        <m/>
        <s v="Mega"/>
      </sharedItems>
    </cacheField>
    <cacheField name="Engagement Category" numFmtId="0">
      <sharedItems/>
    </cacheField>
    <cacheField name="authentic_engagement" numFmtId="0">
      <sharedItems/>
    </cacheField>
    <cacheField name="engagement_average" numFmtId="0">
      <sharedItems containsSemiMixedTypes="0" containsString="0" containsNumber="1" containsInteger="1" minValue="34200" maxValue="1100000"/>
    </cacheField>
    <cacheField name="category_1" numFmtId="0">
      <sharedItems count="23">
        <s v="Cinema &amp; Actors/actresses"/>
        <s v="Clothing &amp; Outfits"/>
        <s v="Science"/>
        <s v="Shows"/>
        <s v="Family"/>
        <s v="Fitness &amp; Gym"/>
        <s v="Humor &amp; Fun &amp; Happiness"/>
        <s v="Sports with a ball"/>
        <s v="Nature &amp; landscapes"/>
        <s v="Literature &amp; Journalism"/>
        <s v="Lifestyle"/>
        <s v="Computers &amp; Gadgets"/>
        <s v="Beauty"/>
        <s v="Photography"/>
        <s v="Finance &amp; Economics"/>
        <s v="Modeling"/>
        <s v="Education"/>
        <s v="Luxury"/>
        <s v="Fashion"/>
        <s v="Winter sports"/>
        <s v="Business &amp; Careers"/>
        <s v="Racing Sports"/>
        <s v="Cars &amp; Motorbikes"/>
      </sharedItems>
    </cacheField>
    <cacheField name="category_2" numFmtId="0">
      <sharedItems/>
    </cacheField>
    <cacheField name="engagement_score" numFmtId="0">
      <sharedItems containsSemiMixedTypes="0" containsString="0" containsNumber="1" containsInteger="1" minValue="2114310000000" maxValue="160392250000000"/>
    </cacheField>
    <cacheField name="influencer_size"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13">
  <r>
    <n v="38"/>
    <x v="0"/>
    <s v="Dwayne Johnson"/>
    <n v="335900000"/>
    <s v="Good"/>
    <x v="0"/>
    <x v="0"/>
    <s v="High"/>
    <s v="375.2K"/>
    <n v="477500"/>
    <x v="0"/>
    <s v="Fitness &amp; Gym"/>
    <n v="160392250000000"/>
    <m/>
  </r>
  <r>
    <n v="42"/>
    <x v="1"/>
    <s v="Khloé Kardashian"/>
    <n v="268400000"/>
    <s v="Good"/>
    <x v="1"/>
    <x v="1"/>
    <s v="High"/>
    <s v="403.1K"/>
    <n v="499300"/>
    <x v="1"/>
    <s v="Lifestyle"/>
    <n v="134012120000000"/>
    <m/>
  </r>
  <r>
    <n v="61"/>
    <x v="2"/>
    <s v="NASA"/>
    <n v="82300000"/>
    <s v="Good"/>
    <x v="0"/>
    <x v="1"/>
    <s v="High"/>
    <s v="800.4K"/>
    <n v="961700"/>
    <x v="2"/>
    <s v="Photography"/>
    <n v="79147910000000"/>
    <m/>
  </r>
  <r>
    <n v="79"/>
    <x v="3"/>
    <s v="disha patani (paatni) 🦋"/>
    <n v="53600000"/>
    <s v="Good"/>
    <x v="0"/>
    <x v="1"/>
    <s v="High"/>
    <s v="802.5K"/>
    <n v="988000"/>
    <x v="0"/>
    <s v="Lifestyle"/>
    <n v="52956800000000"/>
    <m/>
  </r>
  <r>
    <n v="89"/>
    <x v="4"/>
    <s v="Virginia Fonseca Costa"/>
    <n v="39200000"/>
    <s v="Good"/>
    <x v="2"/>
    <x v="1"/>
    <s v="High"/>
    <s v="708.4K"/>
    <n v="1100000"/>
    <x v="3"/>
    <s v="Lifestyle"/>
    <n v="43120000000000"/>
    <m/>
  </r>
  <r>
    <n v="108"/>
    <x v="5"/>
    <s v="David Beckham"/>
    <n v="75100000"/>
    <s v="Good"/>
    <x v="0"/>
    <x v="1"/>
    <s v="High"/>
    <s v="360.5K"/>
    <n v="462300"/>
    <x v="4"/>
    <s v="Sports with a ball"/>
    <n v="34718730000000"/>
    <m/>
  </r>
  <r>
    <n v="140"/>
    <x v="6"/>
    <s v="𝐑𝐨𝐡𝐢𝐭 𝐙𝐢𝐧𝐣𝐮𝐫𝐤𝐞 ~ 𝐫𝐞𝐚𝐜𝐭𝐢𝐨𝐧𝐛𝐨𝐢 💫"/>
    <n v="24100000"/>
    <s v="Good"/>
    <x v="0"/>
    <x v="1"/>
    <s v="High"/>
    <s v="807.5K"/>
    <n v="1100000"/>
    <x v="3"/>
    <s v="Lifestyle"/>
    <n v="26510000000000"/>
    <m/>
  </r>
  <r>
    <n v="141"/>
    <x v="7"/>
    <s v="Nike"/>
    <n v="235700000"/>
    <s v="Good"/>
    <x v="1"/>
    <x v="1"/>
    <s v="High"/>
    <s v="89.7K"/>
    <n v="116200"/>
    <x v="5"/>
    <s v="Shopping &amp; Retail"/>
    <n v="27388340000000"/>
    <m/>
  </r>
  <r>
    <n v="142"/>
    <x v="8"/>
    <s v="Luisillo El Pillo"/>
    <n v="32400000"/>
    <s v="Good"/>
    <x v="3"/>
    <x v="1"/>
    <s v="High"/>
    <s v="627.1K"/>
    <n v="828500"/>
    <x v="6"/>
    <s v="Clothing &amp; Outfits"/>
    <n v="26843400000000"/>
    <m/>
  </r>
  <r>
    <n v="143"/>
    <x v="9"/>
    <s v="Mia K."/>
    <n v="27700000"/>
    <s v="Good"/>
    <x v="0"/>
    <x v="1"/>
    <s v="High"/>
    <s v="605.5K"/>
    <n v="968500"/>
    <x v="5"/>
    <s v="Lifestyle"/>
    <n v="26827450000000"/>
    <m/>
  </r>
  <r>
    <n v="154"/>
    <x v="10"/>
    <s v="Vinicius Jr. ⚡️🇧🇷"/>
    <n v="22300000"/>
    <s v="Good"/>
    <x v="2"/>
    <x v="1"/>
    <s v="High"/>
    <s v="610.1K"/>
    <n v="1100000"/>
    <x v="7"/>
    <s v="Lifestyle"/>
    <n v="24530000000000"/>
    <m/>
  </r>
  <r>
    <n v="158"/>
    <x v="11"/>
    <s v="National Geographic"/>
    <n v="238300000"/>
    <s v="Good"/>
    <x v="1"/>
    <x v="1"/>
    <s v="High"/>
    <s v="78.8K"/>
    <n v="100300"/>
    <x v="8"/>
    <s v="Science"/>
    <n v="23901490000000"/>
    <m/>
  </r>
  <r>
    <n v="168"/>
    <x v="12"/>
    <s v="Kapil Sharma"/>
    <n v="42600000"/>
    <s v="Good"/>
    <x v="0"/>
    <x v="1"/>
    <s v="High"/>
    <s v="463.9K"/>
    <n v="528600"/>
    <x v="0"/>
    <s v="Shows"/>
    <n v="22518360000000"/>
    <m/>
  </r>
  <r>
    <n v="172"/>
    <x v="13"/>
    <s v="Nora Fatehi"/>
    <n v="42100000"/>
    <s v="Good"/>
    <x v="0"/>
    <x v="1"/>
    <s v="High"/>
    <s v="424.4K"/>
    <n v="522300"/>
    <x v="0"/>
    <s v="Shows"/>
    <n v="21988830000000"/>
    <m/>
  </r>
  <r>
    <n v="181"/>
    <x v="14"/>
    <s v="Emma Watson"/>
    <n v="67500000"/>
    <s v="Good"/>
    <x v="1"/>
    <x v="1"/>
    <s v="High"/>
    <s v="224.3K"/>
    <n v="306200"/>
    <x v="9"/>
    <s v="Cinema &amp; Actors/actresses"/>
    <n v="20668500000000"/>
    <m/>
  </r>
  <r>
    <n v="184"/>
    <x v="15"/>
    <s v="Erling Braut Haaland"/>
    <n v="18300000"/>
    <s v="Good"/>
    <x v="2"/>
    <x v="1"/>
    <s v="High"/>
    <s v="722.6K"/>
    <n v="1100000"/>
    <x v="10"/>
    <s v="Sports with a ball"/>
    <n v="20130000000000"/>
    <m/>
  </r>
  <r>
    <n v="185"/>
    <x v="16"/>
    <s v="Stranger Things Netflix"/>
    <n v="22600000"/>
    <s v="Good"/>
    <x v="2"/>
    <x v="1"/>
    <s v="High"/>
    <s v="649.8K"/>
    <n v="869600"/>
    <x v="0"/>
    <s v="Shows"/>
    <n v="19652960000000"/>
    <m/>
  </r>
  <r>
    <n v="201"/>
    <x v="17"/>
    <s v="Zach King"/>
    <n v="24500000"/>
    <s v="Good"/>
    <x v="4"/>
    <x v="1"/>
    <s v="High"/>
    <s v="455.5K"/>
    <n v="701700"/>
    <x v="3"/>
    <s v="Humor &amp; Fun &amp; Happiness"/>
    <n v="17191650000000"/>
    <m/>
  </r>
  <r>
    <n v="207"/>
    <x v="18"/>
    <s v="Tata Werneck"/>
    <n v="54100000"/>
    <s v="Good"/>
    <x v="2"/>
    <x v="1"/>
    <s v="High"/>
    <s v="197.1K"/>
    <n v="306000"/>
    <x v="0"/>
    <s v="Family"/>
    <n v="16554600000000"/>
    <m/>
  </r>
  <r>
    <n v="222"/>
    <x v="19"/>
    <s v="𝑨𝒋𝒆𝒚 𝑵𝒂𝒈𝒂𝒓"/>
    <n v="16100000"/>
    <s v="Good"/>
    <x v="0"/>
    <x v="1"/>
    <s v="High"/>
    <s v="795.3K"/>
    <n v="935800"/>
    <x v="11"/>
    <s v="Machinery &amp; Technologies"/>
    <n v="15066380000000"/>
    <m/>
  </r>
  <r>
    <n v="224"/>
    <x v="20"/>
    <s v="Sydney Sweeney"/>
    <n v="14200000"/>
    <s v="Good"/>
    <x v="1"/>
    <x v="1"/>
    <s v="High"/>
    <s v="555.4K"/>
    <n v="1000000"/>
    <x v="10"/>
    <s v="Cinema &amp; Actors/actresses"/>
    <n v="14200000000000"/>
    <m/>
  </r>
  <r>
    <n v="226"/>
    <x v="21"/>
    <s v="Gaten Matarazzo"/>
    <n v="18700000"/>
    <s v="Good"/>
    <x v="2"/>
    <x v="1"/>
    <s v="High"/>
    <s v="596.8K"/>
    <n v="788200"/>
    <x v="0"/>
    <s v="Fashion"/>
    <n v="14739340000000"/>
    <m/>
  </r>
  <r>
    <n v="228"/>
    <x v="22"/>
    <s v="Awez Darbar"/>
    <n v="23100000"/>
    <s v="Good"/>
    <x v="0"/>
    <x v="1"/>
    <s v="High"/>
    <s v="531.2K"/>
    <n v="636500"/>
    <x v="3"/>
    <s v="Cinema &amp; Actors/actresses"/>
    <n v="14703150000000"/>
    <m/>
  </r>
  <r>
    <n v="235"/>
    <x v="23"/>
    <s v="Sunny Leone"/>
    <n v="53500000"/>
    <s v="Good"/>
    <x v="0"/>
    <x v="1"/>
    <s v="High"/>
    <s v="195.5K"/>
    <n v="264700"/>
    <x v="12"/>
    <s v="Cinema &amp; Actors/actresses"/>
    <n v="14161450000000"/>
    <m/>
  </r>
  <r>
    <n v="239"/>
    <x v="24"/>
    <s v="권지용(權志龍)"/>
    <n v="21300000"/>
    <s v="Good"/>
    <x v="4"/>
    <x v="1"/>
    <s v="High"/>
    <s v="504.8K"/>
    <n v="640000"/>
    <x v="13"/>
    <s v="Fashion"/>
    <n v="13632000000000"/>
    <m/>
  </r>
  <r>
    <n v="241"/>
    <x v="25"/>
    <s v="Ranveer Singh"/>
    <n v="41100000"/>
    <s v="Good"/>
    <x v="0"/>
    <x v="1"/>
    <s v="High"/>
    <s v="247.4K"/>
    <n v="322000"/>
    <x v="0"/>
    <s v="Modeling"/>
    <n v="13234200000000"/>
    <m/>
  </r>
  <r>
    <n v="247"/>
    <x v="26"/>
    <s v="Jair M. Bolsonaro"/>
    <n v="21300000"/>
    <s v="Good"/>
    <x v="2"/>
    <x v="1"/>
    <s v="High"/>
    <s v="452.8K"/>
    <n v="628900"/>
    <x v="14"/>
    <s v="Business &amp; Careers"/>
    <n v="13395570000000"/>
    <m/>
  </r>
  <r>
    <n v="249"/>
    <x v="27"/>
    <s v="Janhvi Kapoor"/>
    <n v="18500000"/>
    <s v="Good"/>
    <x v="0"/>
    <x v="1"/>
    <s v="High"/>
    <s v="581.1K"/>
    <n v="693300"/>
    <x v="10"/>
    <s v="Cinema &amp; Actors/actresses"/>
    <n v="12826050000000"/>
    <m/>
  </r>
  <r>
    <n v="254"/>
    <x v="28"/>
    <s v="Keerthy Suresh"/>
    <n v="13600000"/>
    <s v="Good"/>
    <x v="0"/>
    <x v="1"/>
    <s v="High"/>
    <s v="805K"/>
    <n v="921100"/>
    <x v="12"/>
    <s v="Cinema &amp; Actors/actresses"/>
    <n v="12526960000000"/>
    <m/>
  </r>
  <r>
    <n v="255"/>
    <x v="29"/>
    <s v="Samoylova Oxana"/>
    <n v="15300000"/>
    <s v="Good"/>
    <x v="5"/>
    <x v="1"/>
    <s v="High"/>
    <s v="603.4K"/>
    <n v="818100"/>
    <x v="4"/>
    <s v="Lifestyle"/>
    <n v="12516930000000"/>
    <m/>
  </r>
  <r>
    <n v="257"/>
    <x v="30"/>
    <s v="Sidharth Malhotra"/>
    <n v="20600000"/>
    <s v="Good"/>
    <x v="0"/>
    <x v="1"/>
    <s v="High"/>
    <s v="478.2K"/>
    <n v="595500"/>
    <x v="0"/>
    <s v="Modeling"/>
    <n v="12267300000000"/>
    <m/>
  </r>
  <r>
    <n v="263"/>
    <x v="31"/>
    <s v="Barbara Palvin"/>
    <n v="18200000"/>
    <s v="Good"/>
    <x v="5"/>
    <x v="1"/>
    <s v="High"/>
    <s v="483.4K"/>
    <n v="652300"/>
    <x v="15"/>
    <s v="Fashion"/>
    <n v="11871860000000"/>
    <m/>
  </r>
  <r>
    <n v="272"/>
    <x v="32"/>
    <s v="Marvel Entertainment"/>
    <n v="66400000"/>
    <s v="Good"/>
    <x v="1"/>
    <x v="1"/>
    <s v="High"/>
    <s v="148K"/>
    <n v="175500"/>
    <x v="0"/>
    <s v="Shows"/>
    <n v="11653200000000"/>
    <m/>
  </r>
  <r>
    <n v="277"/>
    <x v="33"/>
    <s v="FAISAL SHAIKH"/>
    <n v="28300000"/>
    <s v="Good"/>
    <x v="0"/>
    <x v="1"/>
    <s v="High"/>
    <s v="322.9K"/>
    <n v="411800"/>
    <x v="15"/>
    <s v="Cinema &amp; Actors/actresses"/>
    <n v="11653940000000"/>
    <m/>
  </r>
  <r>
    <n v="283"/>
    <x v="34"/>
    <s v="Sachin Tendulkar"/>
    <n v="35600000"/>
    <s v="Good"/>
    <x v="0"/>
    <x v="1"/>
    <s v="High"/>
    <s v="264.2K"/>
    <n v="316700"/>
    <x v="7"/>
    <s v="Lifestyle"/>
    <n v="11274520000000"/>
    <m/>
  </r>
  <r>
    <n v="286"/>
    <x v="35"/>
    <s v="Michele Morrone"/>
    <n v="15300000"/>
    <s v="Good"/>
    <x v="2"/>
    <x v="1"/>
    <s v="High"/>
    <s v="498.4K"/>
    <n v="714900"/>
    <x v="10"/>
    <s v="Cinema &amp; Actors/actresses"/>
    <n v="10937970000000"/>
    <m/>
  </r>
  <r>
    <n v="295"/>
    <x v="36"/>
    <s v="Greeicy"/>
    <n v="21400000"/>
    <s v="Good"/>
    <x v="6"/>
    <x v="1"/>
    <s v="High"/>
    <s v="371.7K"/>
    <n v="498800"/>
    <x v="3"/>
    <s v="Cinema &amp; Actors/actresses"/>
    <n v="10674320000000"/>
    <m/>
  </r>
  <r>
    <n v="302"/>
    <x v="37"/>
    <s v="Sebastian Stan"/>
    <n v="9400000"/>
    <s v="Good"/>
    <x v="1"/>
    <x v="1"/>
    <s v="High"/>
    <s v="941.3K"/>
    <n v="1100000"/>
    <x v="3"/>
    <s v="Cinema &amp; Actors/actresses"/>
    <n v="10340000000000"/>
    <s v="Mega"/>
  </r>
  <r>
    <n v="303"/>
    <x v="38"/>
    <s v="Lara Silva ⚠️"/>
    <n v="17400000"/>
    <s v="Good"/>
    <x v="2"/>
    <x v="1"/>
    <s v="High"/>
    <s v="386.6K"/>
    <n v="596800"/>
    <x v="3"/>
    <s v="Adult content"/>
    <n v="10384320000000"/>
    <m/>
  </r>
  <r>
    <n v="311"/>
    <x v="39"/>
    <s v="Neslihan Atagül Doğulu"/>
    <n v="13500000"/>
    <s v="Good"/>
    <x v="7"/>
    <x v="1"/>
    <s v="High"/>
    <s v="608.9K"/>
    <n v="776600"/>
    <x v="0"/>
    <s v="Modeling"/>
    <n v="10484100000000"/>
    <m/>
  </r>
  <r>
    <n v="312"/>
    <x v="40"/>
    <s v="ARIGAMEPLAYS"/>
    <n v="11500000"/>
    <s v="Good"/>
    <x v="3"/>
    <x v="1"/>
    <s v="High"/>
    <s v="727.8K"/>
    <n v="873800"/>
    <x v="10"/>
    <s v="Cinema &amp; Actors/actresses"/>
    <n v="10048700000000"/>
    <m/>
  </r>
  <r>
    <n v="316"/>
    <x v="41"/>
    <s v="NCT DREAM OFFICIAL"/>
    <n v="10400000"/>
    <s v="Good"/>
    <x v="4"/>
    <x v="1"/>
    <s v="High"/>
    <s v="845K"/>
    <n v="944000"/>
    <x v="15"/>
    <s v="Fashion"/>
    <n v="9817600000000"/>
    <m/>
  </r>
  <r>
    <n v="335"/>
    <x v="42"/>
    <s v="hasan reyvandi حسن ریوندی"/>
    <n v="19700000"/>
    <s v="Good"/>
    <x v="8"/>
    <x v="1"/>
    <s v="High"/>
    <s v="337.9K"/>
    <n v="466900"/>
    <x v="0"/>
    <s v="Humor &amp; Fun &amp; Happiness"/>
    <n v="9197930000000"/>
    <m/>
  </r>
  <r>
    <n v="337"/>
    <x v="43"/>
    <s v="Rohit Sharma"/>
    <n v="24900000"/>
    <s v="Good"/>
    <x v="0"/>
    <x v="1"/>
    <s v="High"/>
    <s v="324.4K"/>
    <n v="366300"/>
    <x v="7"/>
    <s v="Lifestyle"/>
    <n v="9120870000000"/>
    <m/>
  </r>
  <r>
    <n v="340"/>
    <x v="44"/>
    <s v="DR. SHAQUILLE O'NEAL Ed.D."/>
    <n v="26700000"/>
    <s v="Good"/>
    <x v="1"/>
    <x v="1"/>
    <s v="High"/>
    <s v="258.1K"/>
    <n v="338500"/>
    <x v="6"/>
    <s v="Sports with a ball"/>
    <n v="9037950000000"/>
    <m/>
  </r>
  <r>
    <n v="353"/>
    <x v="45"/>
    <s v="Michelle Obama"/>
    <n v="50800000"/>
    <s v="Good"/>
    <x v="1"/>
    <x v="1"/>
    <s v="High"/>
    <s v="156.1K"/>
    <n v="174600"/>
    <x v="14"/>
    <s v="Business &amp; Careers"/>
    <n v="8869680000000"/>
    <m/>
  </r>
  <r>
    <n v="361"/>
    <x v="46"/>
    <s v="Joey King"/>
    <n v="19100000"/>
    <s v="Good"/>
    <x v="2"/>
    <x v="1"/>
    <s v="High"/>
    <s v="313.9K"/>
    <n v="449300"/>
    <x v="0"/>
    <s v="Modeling"/>
    <n v="8581630000000"/>
    <m/>
  </r>
  <r>
    <n v="362"/>
    <x v="47"/>
    <s v="Wardell Curry"/>
    <n v="45900000"/>
    <s v="Good"/>
    <x v="1"/>
    <x v="1"/>
    <s v="High"/>
    <s v="140K"/>
    <n v="187300"/>
    <x v="7"/>
    <s v="Family"/>
    <n v="8597070000000"/>
    <m/>
  </r>
  <r>
    <n v="364"/>
    <x v="48"/>
    <s v="Liza Soberano"/>
    <n v="17500000"/>
    <s v="Good"/>
    <x v="9"/>
    <x v="1"/>
    <s v="High"/>
    <s v="410.3K"/>
    <n v="489400"/>
    <x v="12"/>
    <s v="Cinema &amp; Actors/actresses"/>
    <n v="8564500000000"/>
    <m/>
  </r>
  <r>
    <n v="365"/>
    <x v="49"/>
    <s v="JADE 🌪"/>
    <n v="20900000"/>
    <s v="Good"/>
    <x v="2"/>
    <x v="1"/>
    <s v="High"/>
    <s v="187.7K"/>
    <n v="412900"/>
    <x v="15"/>
    <s v="Fashion"/>
    <n v="8629610000000"/>
    <m/>
  </r>
  <r>
    <n v="366"/>
    <x v="50"/>
    <s v="김소현"/>
    <n v="12400000"/>
    <s v="Good"/>
    <x v="4"/>
    <x v="1"/>
    <s v="High"/>
    <s v="592.1K"/>
    <n v="681200"/>
    <x v="0"/>
    <s v="Modeling"/>
    <n v="8446880000000"/>
    <m/>
  </r>
  <r>
    <n v="368"/>
    <x v="51"/>
    <s v="Cara Delevingne"/>
    <n v="42800000"/>
    <s v="Good"/>
    <x v="1"/>
    <x v="1"/>
    <s v="High"/>
    <s v="137.4K"/>
    <n v="192700"/>
    <x v="15"/>
    <s v="Cinema &amp; Actors/actresses"/>
    <n v="8247560000000"/>
    <m/>
  </r>
  <r>
    <n v="369"/>
    <x v="52"/>
    <s v="Jaden Smith"/>
    <n v="19200000"/>
    <s v="Good"/>
    <x v="1"/>
    <x v="1"/>
    <s v="High"/>
    <s v="275.4K"/>
    <n v="426200"/>
    <x v="0"/>
    <s v="Lifestyle"/>
    <n v="8183040000000"/>
    <m/>
  </r>
  <r>
    <n v="374"/>
    <x v="53"/>
    <s v="Barack Obama"/>
    <n v="35400000"/>
    <s v="Good"/>
    <x v="1"/>
    <x v="1"/>
    <s v="High"/>
    <s v="191.2K"/>
    <n v="225100"/>
    <x v="14"/>
    <s v="Business &amp; Careers"/>
    <n v="7968540000000"/>
    <m/>
  </r>
  <r>
    <n v="377"/>
    <x v="54"/>
    <s v="Fabrizio Romano"/>
    <n v="10700000"/>
    <s v="Good"/>
    <x v="10"/>
    <x v="1"/>
    <s v="High"/>
    <s v="418.5K"/>
    <n v="724500"/>
    <x v="9"/>
    <s v="Shows"/>
    <n v="7752150000000"/>
    <m/>
  </r>
  <r>
    <n v="383"/>
    <x v="55"/>
    <s v="C.V T"/>
    <n v="10400000"/>
    <s v="Good"/>
    <x v="1"/>
    <x v="1"/>
    <s v="High"/>
    <s v="363.1K"/>
    <n v="740100"/>
    <x v="6"/>
    <s v="Lifestyle"/>
    <n v="7697040000000"/>
    <m/>
  </r>
  <r>
    <n v="398"/>
    <x v="56"/>
    <s v="Harry Styles HQ"/>
    <n v="6600000"/>
    <s v="Good"/>
    <x v="1"/>
    <x v="1"/>
    <s v="High"/>
    <s v="638.5K"/>
    <n v="1100000"/>
    <x v="0"/>
    <s v="Fashion"/>
    <n v="7260000000000"/>
    <s v="Mega"/>
  </r>
  <r>
    <n v="399"/>
    <x v="57"/>
    <s v="Deive Leonardo"/>
    <n v="12100000"/>
    <s v="Good"/>
    <x v="2"/>
    <x v="1"/>
    <s v="High"/>
    <s v="330.3K"/>
    <n v="608100"/>
    <x v="9"/>
    <s v="Trainers &amp; Coaches"/>
    <n v="7358010000000"/>
    <m/>
  </r>
  <r>
    <n v="405"/>
    <x v="58"/>
    <s v="Yasmine Sabri"/>
    <n v="19600000"/>
    <s v="Good"/>
    <x v="11"/>
    <x v="1"/>
    <s v="High"/>
    <s v="262.9K"/>
    <n v="368800"/>
    <x v="0"/>
    <s v="Lifestyle"/>
    <n v="7228480000000"/>
    <m/>
  </r>
  <r>
    <n v="407"/>
    <x v="59"/>
    <s v="Anya Taylor-Joy"/>
    <n v="9100000"/>
    <s v="Good"/>
    <x v="1"/>
    <x v="1"/>
    <s v="High"/>
    <s v="554.7K"/>
    <n v="799500"/>
    <x v="15"/>
    <s v="Cinema &amp; Actors/actresses"/>
    <n v="7275450000000"/>
    <s v="Mega"/>
  </r>
  <r>
    <n v="410"/>
    <x v="60"/>
    <s v="AB de Villiers"/>
    <n v="18800000"/>
    <s v="Good"/>
    <x v="0"/>
    <x v="1"/>
    <s v="High"/>
    <s v="328.3K"/>
    <n v="378800"/>
    <x v="7"/>
    <s v="Lifestyle"/>
    <n v="7121440000000"/>
    <m/>
  </r>
  <r>
    <n v="417"/>
    <x v="61"/>
    <s v="Kris Jenner"/>
    <n v="49900000"/>
    <s v="Good"/>
    <x v="1"/>
    <x v="1"/>
    <s v="High"/>
    <s v="92.1K"/>
    <n v="140000"/>
    <x v="3"/>
    <s v="Beauty"/>
    <n v="6986000000000"/>
    <m/>
  </r>
  <r>
    <n v="420"/>
    <x v="62"/>
    <s v="LaMelo Ball"/>
    <n v="9200000"/>
    <s v="Good"/>
    <x v="1"/>
    <x v="1"/>
    <s v="High"/>
    <s v="377.5K"/>
    <n v="767400"/>
    <x v="10"/>
    <s v="Sports with a ball"/>
    <n v="7060080000000"/>
    <s v="Mega"/>
  </r>
  <r>
    <n v="423"/>
    <x v="63"/>
    <s v="설인아 sᴇᴏʀɪɴᴀ"/>
    <n v="6600000"/>
    <s v="Good"/>
    <x v="12"/>
    <x v="1"/>
    <s v="High"/>
    <s v="858.3K"/>
    <n v="1100000"/>
    <x v="10"/>
    <s v="Cinema &amp; Actors/actresses"/>
    <n v="7260000000000"/>
    <s v="Mega"/>
  </r>
  <r>
    <n v="425"/>
    <x v="64"/>
    <s v="Mark Tuan"/>
    <n v="12900000"/>
    <s v="Good"/>
    <x v="4"/>
    <x v="1"/>
    <s v="High"/>
    <s v="423.5K"/>
    <n v="534400"/>
    <x v="0"/>
    <s v="Modeling"/>
    <n v="6893760000000"/>
    <m/>
  </r>
  <r>
    <n v="426"/>
    <x v="65"/>
    <s v="Fahriye Evcen Özçivit"/>
    <n v="13100000"/>
    <s v="Good"/>
    <x v="7"/>
    <x v="1"/>
    <s v="High"/>
    <s v="418.9K"/>
    <n v="528800"/>
    <x v="10"/>
    <s v="Beauty"/>
    <n v="6927280000000"/>
    <m/>
  </r>
  <r>
    <n v="432"/>
    <x v="66"/>
    <s v="Shay Mitchell"/>
    <n v="34300000"/>
    <s v="Good"/>
    <x v="1"/>
    <x v="1"/>
    <s v="High"/>
    <s v="140.1K"/>
    <n v="196400"/>
    <x v="12"/>
    <s v="Family"/>
    <n v="6736520000000"/>
    <m/>
  </r>
  <r>
    <n v="446"/>
    <x v="67"/>
    <s v="Mathilde"/>
    <n v="10100000"/>
    <s v="Good"/>
    <x v="1"/>
    <x v="1"/>
    <s v="High"/>
    <s v="424.6K"/>
    <n v="642600"/>
    <x v="10"/>
    <s v="Modeling"/>
    <n v="6490260000000"/>
    <m/>
  </r>
  <r>
    <n v="448"/>
    <x v="68"/>
    <s v="Lea Elui G"/>
    <n v="11400000"/>
    <s v="Good"/>
    <x v="0"/>
    <x v="1"/>
    <s v="High"/>
    <s v="337.5K"/>
    <n v="567200"/>
    <x v="15"/>
    <s v="Lifestyle"/>
    <n v="6466080000000"/>
    <m/>
  </r>
  <r>
    <n v="452"/>
    <x v="67"/>
    <s v="Mathilde"/>
    <n v="10100000"/>
    <s v="Good"/>
    <x v="1"/>
    <x v="1"/>
    <s v="High"/>
    <s v="424.6K"/>
    <n v="642600"/>
    <x v="10"/>
    <s v="Modeling"/>
    <n v="6490260000000"/>
    <m/>
  </r>
  <r>
    <n v="453"/>
    <x v="68"/>
    <s v="Lea Elui G"/>
    <n v="11400000"/>
    <s v="Good"/>
    <x v="0"/>
    <x v="1"/>
    <s v="High"/>
    <s v="337.5K"/>
    <n v="567200"/>
    <x v="15"/>
    <s v="Lifestyle"/>
    <n v="6466080000000"/>
    <m/>
  </r>
  <r>
    <n v="458"/>
    <x v="69"/>
    <s v="Jenna Ortega"/>
    <n v="8600000"/>
    <s v="Good"/>
    <x v="1"/>
    <x v="1"/>
    <s v="High"/>
    <s v="523.2K"/>
    <n v="745300"/>
    <x v="0"/>
    <s v="Lifestyle"/>
    <n v="6409580000000"/>
    <s v="Mega"/>
  </r>
  <r>
    <n v="464"/>
    <x v="70"/>
    <s v="Florence Pugh"/>
    <n v="7900000"/>
    <s v="Good"/>
    <x v="1"/>
    <x v="1"/>
    <s v="High"/>
    <s v="523.2K"/>
    <n v="800000"/>
    <x v="6"/>
    <s v="Cinema &amp; Actors/actresses"/>
    <n v="6320000000000"/>
    <s v="Mega"/>
  </r>
  <r>
    <n v="470"/>
    <x v="71"/>
    <s v="Victor Augusto"/>
    <n v="10700000"/>
    <s v="Good"/>
    <x v="2"/>
    <x v="1"/>
    <s v="High"/>
    <s v="449.1K"/>
    <n v="573900"/>
    <x v="10"/>
    <s v="Sports with a ball"/>
    <n v="6140730000000"/>
    <m/>
  </r>
  <r>
    <n v="481"/>
    <x v="72"/>
    <s v="Vicky Kaushal"/>
    <n v="14200000"/>
    <s v="Good"/>
    <x v="0"/>
    <x v="1"/>
    <s v="High"/>
    <s v="357.8K"/>
    <n v="419900"/>
    <x v="10"/>
    <s v="Cinema &amp; Actors/actresses"/>
    <n v="5962580000000"/>
    <m/>
  </r>
  <r>
    <n v="494"/>
    <x v="73"/>
    <s v="tiffany young"/>
    <n v="12800000"/>
    <s v="Good"/>
    <x v="4"/>
    <x v="1"/>
    <s v="High"/>
    <s v="359.6K"/>
    <n v="449900"/>
    <x v="15"/>
    <s v="Fashion"/>
    <n v="5758720000000"/>
    <m/>
  </r>
  <r>
    <n v="497"/>
    <x v="74"/>
    <s v="Jailyne Ojeda Ochoa"/>
    <n v="14100000"/>
    <s v="Good"/>
    <x v="1"/>
    <x v="1"/>
    <s v="High"/>
    <s v="293.3K"/>
    <n v="405700"/>
    <x v="15"/>
    <s v="Lifestyle"/>
    <n v="5720370000000"/>
    <m/>
  </r>
  <r>
    <n v="499"/>
    <x v="75"/>
    <s v="Kathryn Bernardo 🐘"/>
    <n v="17400000"/>
    <s v="Good"/>
    <x v="9"/>
    <x v="1"/>
    <s v="High"/>
    <s v="270.7K"/>
    <n v="326200"/>
    <x v="12"/>
    <s v="Cinema &amp; Actors/actresses"/>
    <n v="5675880000000"/>
    <m/>
  </r>
  <r>
    <n v="501"/>
    <x v="76"/>
    <s v="Gisele Bündchen"/>
    <n v="19700000"/>
    <s v="Good"/>
    <x v="2"/>
    <x v="1"/>
    <s v="High"/>
    <s v="194.8K"/>
    <n v="289500"/>
    <x v="15"/>
    <s v="Fashion"/>
    <n v="5703150000000"/>
    <m/>
  </r>
  <r>
    <n v="503"/>
    <x v="77"/>
    <s v="Nazriya Nazim Fahadh"/>
    <n v="6400000"/>
    <s v="Good"/>
    <x v="0"/>
    <x v="1"/>
    <s v="High"/>
    <s v="666.1K"/>
    <n v="892300"/>
    <x v="10"/>
    <s v="Cinema &amp; Actors/actresses"/>
    <n v="5710720000000"/>
    <s v="Mega"/>
  </r>
  <r>
    <n v="510"/>
    <x v="78"/>
    <s v="Anjali Arora"/>
    <n v="11900000"/>
    <s v="Good"/>
    <x v="0"/>
    <x v="1"/>
    <s v="High"/>
    <s v="363.2K"/>
    <n v="464800"/>
    <x v="10"/>
    <s v="Cinema &amp; Actors/actresses"/>
    <n v="5531120000000"/>
    <m/>
  </r>
  <r>
    <n v="513"/>
    <x v="79"/>
    <s v="euphoria"/>
    <n v="7800000"/>
    <s v="Good"/>
    <x v="1"/>
    <x v="1"/>
    <s v="High"/>
    <s v="434.3K"/>
    <n v="700800"/>
    <x v="13"/>
    <s v="Cinema &amp; Actors/actresses"/>
    <n v="5466240000000"/>
    <s v="Mega"/>
  </r>
  <r>
    <n v="522"/>
    <x v="80"/>
    <s v="King Bach"/>
    <n v="23100000"/>
    <s v="Good"/>
    <x v="1"/>
    <x v="1"/>
    <s v="High"/>
    <s v="113.3K"/>
    <n v="227200"/>
    <x v="0"/>
    <s v="Modeling"/>
    <n v="5248320000000"/>
    <m/>
  </r>
  <r>
    <n v="523"/>
    <x v="81"/>
    <s v="Deolane Bezerra ⚖️"/>
    <n v="15000000"/>
    <s v="Good"/>
    <x v="2"/>
    <x v="1"/>
    <s v="High"/>
    <s v="163.6K"/>
    <n v="351300"/>
    <x v="12"/>
    <s v="Lifestyle"/>
    <n v="5269500000000"/>
    <m/>
  </r>
  <r>
    <n v="524"/>
    <x v="82"/>
    <s v="Lexi Rivera"/>
    <n v="8500000"/>
    <s v="Good"/>
    <x v="1"/>
    <x v="1"/>
    <s v="High"/>
    <s v="512K"/>
    <n v="640500"/>
    <x v="3"/>
    <s v="Humor &amp; Fun &amp; Happiness"/>
    <n v="5444250000000"/>
    <s v="Mega"/>
  </r>
  <r>
    <n v="529"/>
    <x v="83"/>
    <s v="Klay Thompson"/>
    <n v="13400000"/>
    <s v="Good"/>
    <x v="1"/>
    <x v="1"/>
    <s v="High"/>
    <s v="267.5K"/>
    <n v="388800"/>
    <x v="7"/>
    <s v="Lifestyle"/>
    <n v="5209920000000"/>
    <m/>
  </r>
  <r>
    <n v="547"/>
    <x v="84"/>
    <s v="Savannah Rose LaBrant"/>
    <n v="7100000"/>
    <s v="Good"/>
    <x v="1"/>
    <x v="1"/>
    <s v="High"/>
    <s v="518.8K"/>
    <n v="693900"/>
    <x v="4"/>
    <s v="Lifestyle"/>
    <n v="4926690000000"/>
    <s v="Mega"/>
  </r>
  <r>
    <n v="554"/>
    <x v="85"/>
    <s v="Srinidhi Shetty 🌸"/>
    <n v="4400000"/>
    <s v="Good"/>
    <x v="0"/>
    <x v="1"/>
    <s v="High"/>
    <s v="818.6K"/>
    <n v="1100000"/>
    <x v="12"/>
    <s v="Cinema &amp; Actors/actresses"/>
    <n v="4840000000000"/>
    <s v="Mega"/>
  </r>
  <r>
    <n v="558"/>
    <x v="86"/>
    <s v="Golden State Warriors"/>
    <n v="25500000"/>
    <s v="Good"/>
    <x v="1"/>
    <x v="1"/>
    <s v="High"/>
    <s v="132K"/>
    <n v="183000"/>
    <x v="10"/>
    <s v="Sports with a ball"/>
    <n v="4666500000000"/>
    <m/>
  </r>
  <r>
    <n v="564"/>
    <x v="87"/>
    <s v="Phoebe Tonkin"/>
    <n v="8400000"/>
    <s v="Good"/>
    <x v="1"/>
    <x v="1"/>
    <s v="High"/>
    <s v="388.3K"/>
    <n v="554100"/>
    <x v="12"/>
    <s v="Cinema &amp; Actors/actresses"/>
    <n v="4654440000000"/>
    <s v="Mega"/>
  </r>
  <r>
    <n v="565"/>
    <x v="88"/>
    <s v="Nita Shilimkar"/>
    <n v="11500000"/>
    <s v="Good"/>
    <x v="0"/>
    <x v="1"/>
    <s v="High"/>
    <s v="301.8K"/>
    <n v="398600"/>
    <x v="10"/>
    <s v="Fashion"/>
    <n v="4583900000000"/>
    <m/>
  </r>
  <r>
    <n v="566"/>
    <x v="89"/>
    <s v="GKAY"/>
    <n v="20000000"/>
    <s v="Good"/>
    <x v="2"/>
    <x v="1"/>
    <s v="High"/>
    <s v="111.7K"/>
    <n v="231200"/>
    <x v="3"/>
    <s v="Humor &amp; Fun &amp; Happiness"/>
    <n v="4624000000000"/>
    <m/>
  </r>
  <r>
    <n v="569"/>
    <x v="90"/>
    <s v="2000"/>
    <n v="6300000"/>
    <s v="Good"/>
    <x v="4"/>
    <x v="1"/>
    <s v="High"/>
    <s v="544.5K"/>
    <n v="732300"/>
    <x v="12"/>
    <s v="Lifestyle"/>
    <n v="4613490000000"/>
    <s v="Mega"/>
  </r>
  <r>
    <n v="570"/>
    <x v="91"/>
    <s v="Marzia Kjellberg"/>
    <n v="8300000"/>
    <s v="Good"/>
    <x v="1"/>
    <x v="1"/>
    <s v="High"/>
    <s v="450.1K"/>
    <n v="549900"/>
    <x v="12"/>
    <s v="Lifestyle"/>
    <n v="4564170000000"/>
    <s v="Mega"/>
  </r>
  <r>
    <n v="576"/>
    <x v="92"/>
    <s v="Hugo Gloss"/>
    <n v="20300000"/>
    <s v="Good"/>
    <x v="2"/>
    <x v="1"/>
    <s v="High"/>
    <s v="110.9K"/>
    <n v="218700"/>
    <x v="9"/>
    <s v="Humor &amp; Fun &amp; Happiness"/>
    <n v="4439610000000"/>
    <m/>
  </r>
  <r>
    <n v="579"/>
    <x v="93"/>
    <s v="SportsCenter"/>
    <n v="31800000"/>
    <s v="Good"/>
    <x v="1"/>
    <x v="1"/>
    <s v="High"/>
    <s v="76.6K"/>
    <n v="137300"/>
    <x v="7"/>
    <s v="Shows"/>
    <n v="4366140000000"/>
    <m/>
  </r>
  <r>
    <n v="583"/>
    <x v="94"/>
    <s v="Prabhas"/>
    <n v="8800000"/>
    <s v="Good"/>
    <x v="0"/>
    <x v="1"/>
    <s v="High"/>
    <s v="443.3K"/>
    <n v="496300"/>
    <x v="3"/>
    <s v="Cinema &amp; Actors/actresses"/>
    <n v="4367440000000"/>
    <s v="Mega"/>
  </r>
  <r>
    <n v="587"/>
    <x v="95"/>
    <s v="Ellen DeGeneres"/>
    <n v="125100000"/>
    <s v="Good"/>
    <x v="1"/>
    <x v="1"/>
    <s v="High"/>
    <s v="28.4K"/>
    <n v="34200"/>
    <x v="3"/>
    <s v="Cinema &amp; Actors/actresses"/>
    <n v="4278420000000"/>
    <m/>
  </r>
  <r>
    <n v="602"/>
    <x v="96"/>
    <s v="Avril Lavigne"/>
    <n v="11700000"/>
    <s v="Good"/>
    <x v="2"/>
    <x v="1"/>
    <s v="High"/>
    <s v="284.5K"/>
    <n v="354200"/>
    <x v="0"/>
    <s v="Fashion"/>
    <n v="4144140000000"/>
    <m/>
  </r>
  <r>
    <n v="604"/>
    <x v="97"/>
    <s v="Muhammad Rizky Billar"/>
    <n v="12900000"/>
    <s v="Good"/>
    <x v="4"/>
    <x v="1"/>
    <s v="High"/>
    <s v="248.5K"/>
    <n v="321000"/>
    <x v="3"/>
    <s v="Beauty"/>
    <n v="4140900000000"/>
    <m/>
  </r>
  <r>
    <n v="605"/>
    <x v="98"/>
    <s v="Victoria Justice"/>
    <n v="22900000"/>
    <s v="Good"/>
    <x v="1"/>
    <x v="1"/>
    <s v="High"/>
    <s v="131.1K"/>
    <n v="179400"/>
    <x v="0"/>
    <s v="Modeling"/>
    <n v="4108260000000"/>
    <m/>
  </r>
  <r>
    <n v="608"/>
    <x v="99"/>
    <s v="Esha Gupta"/>
    <n v="11600000"/>
    <s v="Good"/>
    <x v="0"/>
    <x v="1"/>
    <s v="High"/>
    <s v="280.6K"/>
    <n v="351300"/>
    <x v="10"/>
    <s v="Cinema &amp; Actors/actresses"/>
    <n v="4075080000000"/>
    <m/>
  </r>
  <r>
    <n v="621"/>
    <x v="100"/>
    <s v="ANDREA VALDIRI 🇨🇴"/>
    <n v="8700000"/>
    <s v="Good"/>
    <x v="6"/>
    <x v="1"/>
    <s v="High"/>
    <s v="326.9K"/>
    <n v="465000"/>
    <x v="10"/>
    <s v="Beauty"/>
    <n v="4045500000000"/>
    <s v="Mega"/>
  </r>
  <r>
    <n v="626"/>
    <x v="101"/>
    <s v="Netflix Brasil"/>
    <n v="32600000"/>
    <s v="Good"/>
    <x v="2"/>
    <x v="1"/>
    <s v="High"/>
    <s v="70.7K"/>
    <n v="120800"/>
    <x v="3"/>
    <s v="Cinema &amp; Actors/actresses"/>
    <n v="3938080000000"/>
    <m/>
  </r>
  <r>
    <n v="627"/>
    <x v="102"/>
    <s v="Pia Wurtzbach"/>
    <n v="13800000"/>
    <s v="Good"/>
    <x v="9"/>
    <x v="1"/>
    <s v="High"/>
    <s v="234.5K"/>
    <n v="282800"/>
    <x v="12"/>
    <s v="Modeling"/>
    <n v="3902640000000"/>
    <m/>
  </r>
  <r>
    <n v="635"/>
    <x v="103"/>
    <s v="La Casa de Papel"/>
    <n v="12600000"/>
    <s v="Good"/>
    <x v="2"/>
    <x v="1"/>
    <s v="High"/>
    <s v="202.5K"/>
    <n v="304400"/>
    <x v="0"/>
    <s v="Shows"/>
    <n v="3835440000000"/>
    <m/>
  </r>
  <r>
    <n v="636"/>
    <x v="104"/>
    <s v="CARMEN VILLALOBOS"/>
    <n v="20500000"/>
    <s v="Good"/>
    <x v="6"/>
    <x v="1"/>
    <s v="High"/>
    <s v="151.4K"/>
    <n v="186700"/>
    <x v="3"/>
    <s v="Cinema &amp; Actors/actresses"/>
    <n v="3827350000000"/>
    <m/>
  </r>
  <r>
    <n v="637"/>
    <x v="105"/>
    <s v="Jerome Polin Sijabat ジェローム"/>
    <n v="7000000"/>
    <s v="Good"/>
    <x v="4"/>
    <x v="1"/>
    <s v="High"/>
    <s v="379K"/>
    <n v="555500"/>
    <x v="16"/>
    <s v="Humor &amp; Fun &amp; Happiness"/>
    <n v="3888500000000"/>
    <s v="Mega"/>
  </r>
  <r>
    <n v="638"/>
    <x v="106"/>
    <s v="Sarah Hyland"/>
    <n v="9900000"/>
    <s v="Good"/>
    <x v="1"/>
    <x v="1"/>
    <s v="High"/>
    <s v="310.1K"/>
    <n v="387700"/>
    <x v="0"/>
    <s v="Lifestyle"/>
    <n v="3838230000000"/>
    <s v="Mega"/>
  </r>
  <r>
    <n v="641"/>
    <x v="107"/>
    <s v="Sonakshi Sinha"/>
    <n v="23300000"/>
    <s v="Good"/>
    <x v="0"/>
    <x v="1"/>
    <s v="High"/>
    <s v="134.4K"/>
    <n v="162600"/>
    <x v="0"/>
    <s v="Lifestyle"/>
    <n v="3788580000000"/>
    <m/>
  </r>
  <r>
    <n v="646"/>
    <x v="108"/>
    <s v="Lamborghini"/>
    <n v="32200000"/>
    <s v="Good"/>
    <x v="0"/>
    <x v="1"/>
    <s v="High"/>
    <s v="83.8K"/>
    <n v="115600"/>
    <x v="17"/>
    <s v="Cars &amp; Motorbikes"/>
    <n v="3722320000000"/>
    <m/>
  </r>
  <r>
    <n v="648"/>
    <x v="109"/>
    <s v="Taylor Hill"/>
    <n v="20500000"/>
    <s v="Good"/>
    <x v="1"/>
    <x v="1"/>
    <s v="High"/>
    <s v="121K"/>
    <n v="180500"/>
    <x v="18"/>
    <s v="Modeling"/>
    <n v="3700250000000"/>
    <m/>
  </r>
  <r>
    <n v="649"/>
    <x v="110"/>
    <s v="Sooyoung Choi"/>
    <n v="7400000"/>
    <s v="Good"/>
    <x v="4"/>
    <x v="1"/>
    <s v="High"/>
    <s v="421.3K"/>
    <n v="508500"/>
    <x v="12"/>
    <s v="Lifestyle"/>
    <n v="3762900000000"/>
    <s v="Mega"/>
  </r>
  <r>
    <n v="651"/>
    <x v="111"/>
    <s v="chrissy teigen"/>
    <n v="39100000"/>
    <s v="Good"/>
    <x v="1"/>
    <x v="1"/>
    <s v="High"/>
    <s v="72K"/>
    <n v="94000"/>
    <x v="3"/>
    <s v="Modeling"/>
    <n v="3675400000000"/>
    <m/>
  </r>
  <r>
    <n v="654"/>
    <x v="112"/>
    <s v="Lizzo"/>
    <n v="12900000"/>
    <s v="Good"/>
    <x v="1"/>
    <x v="1"/>
    <s v="High"/>
    <s v="204.1K"/>
    <n v="286000"/>
    <x v="10"/>
    <s v="Cinema &amp; Actors/actresses"/>
    <n v="3689400000000"/>
    <m/>
  </r>
  <r>
    <n v="656"/>
    <x v="88"/>
    <s v="Nita Shilimkar"/>
    <n v="11500000"/>
    <s v="Good"/>
    <x v="0"/>
    <x v="1"/>
    <s v="High"/>
    <s v="240.5K"/>
    <n v="318000"/>
    <x v="10"/>
    <s v="Fashion"/>
    <n v="3657000000000"/>
    <m/>
  </r>
  <r>
    <n v="657"/>
    <x v="87"/>
    <s v="Phoebe Tonkin"/>
    <n v="8400000"/>
    <s v="Good"/>
    <x v="1"/>
    <x v="1"/>
    <s v="High"/>
    <s v="309.4K"/>
    <n v="441600"/>
    <x v="12"/>
    <s v="Cinema &amp; Actors/actresses"/>
    <n v="3709440000000"/>
    <s v="Mega"/>
  </r>
  <r>
    <n v="658"/>
    <x v="113"/>
    <s v="Sakura Miyawaki"/>
    <n v="4300000"/>
    <s v="Good"/>
    <x v="4"/>
    <x v="1"/>
    <s v="High"/>
    <s v="708K"/>
    <n v="873100"/>
    <x v="10"/>
    <s v="Cinema &amp; Actors/actresses"/>
    <n v="3754330000000"/>
    <s v="Mega"/>
  </r>
  <r>
    <n v="661"/>
    <x v="114"/>
    <s v="Devin"/>
    <n v="5400000"/>
    <s v="Good"/>
    <x v="1"/>
    <x v="1"/>
    <s v="High"/>
    <s v="349.4K"/>
    <n v="687000"/>
    <x v="10"/>
    <s v="Sports with a ball"/>
    <n v="3709800000000"/>
    <s v="Mega"/>
  </r>
  <r>
    <n v="664"/>
    <x v="115"/>
    <s v="Paulo André 🏁"/>
    <n v="9900000"/>
    <s v="Good"/>
    <x v="2"/>
    <x v="1"/>
    <s v="High"/>
    <s v="135.4K"/>
    <n v="381200"/>
    <x v="13"/>
    <s v="Lifestyle"/>
    <n v="3773880000000"/>
    <s v="Mega"/>
  </r>
  <r>
    <n v="678"/>
    <x v="116"/>
    <s v="Oprah"/>
    <n v="21500000"/>
    <s v="Good"/>
    <x v="1"/>
    <x v="1"/>
    <s v="High"/>
    <s v="143.7K"/>
    <n v="169800"/>
    <x v="0"/>
    <s v="Shows"/>
    <n v="3650700000000"/>
    <m/>
  </r>
  <r>
    <n v="682"/>
    <x v="117"/>
    <s v="BEAUTIFUL DESTINATIONS"/>
    <n v="24700000"/>
    <s v="Good"/>
    <x v="1"/>
    <x v="1"/>
    <s v="High"/>
    <s v="107.6K"/>
    <n v="144300"/>
    <x v="13"/>
    <s v="Travel"/>
    <n v="3564210000000"/>
    <m/>
  </r>
  <r>
    <n v="683"/>
    <x v="118"/>
    <s v="Maddie Baby"/>
    <n v="6700000"/>
    <s v="Good"/>
    <x v="1"/>
    <x v="1"/>
    <s v="High"/>
    <s v="288.9K"/>
    <n v="541000"/>
    <x v="10"/>
    <s v="Cinema &amp; Actors/actresses"/>
    <n v="3624700000000"/>
    <s v="Mega"/>
  </r>
  <r>
    <n v="684"/>
    <x v="119"/>
    <s v="Rishabh Pant"/>
    <n v="6900000"/>
    <s v="Good"/>
    <x v="0"/>
    <x v="1"/>
    <s v="High"/>
    <s v="439.7K"/>
    <n v="522300"/>
    <x v="10"/>
    <s v="Sports with a ball"/>
    <n v="3603870000000"/>
    <s v="Mega"/>
  </r>
  <r>
    <n v="691"/>
    <x v="120"/>
    <s v="William  Levy / Actor Producer"/>
    <n v="10900000"/>
    <s v="Good"/>
    <x v="2"/>
    <x v="1"/>
    <s v="High"/>
    <s v="242.1K"/>
    <n v="326100"/>
    <x v="3"/>
    <s v="Cinema &amp; Actors/actresses"/>
    <n v="3554490000000"/>
    <m/>
  </r>
  <r>
    <n v="692"/>
    <x v="121"/>
    <s v="pokimane 🤍"/>
    <n v="6200000"/>
    <s v="Good"/>
    <x v="1"/>
    <x v="1"/>
    <s v="High"/>
    <s v="436.7K"/>
    <n v="575300"/>
    <x v="10"/>
    <s v="Shows"/>
    <n v="3566860000000"/>
    <s v="Mega"/>
  </r>
  <r>
    <n v="693"/>
    <x v="122"/>
    <s v="12 🥷🏽🖤"/>
    <n v="7700000"/>
    <s v="Good"/>
    <x v="1"/>
    <x v="1"/>
    <s v="High"/>
    <s v="284.6K"/>
    <n v="459900"/>
    <x v="19"/>
    <s v="Sports with a ball"/>
    <n v="3541230000000"/>
    <s v="Mega"/>
  </r>
  <r>
    <n v="694"/>
    <x v="123"/>
    <s v="N I C O L E   A M A D O 🐉"/>
    <n v="8300000"/>
    <s v="Good"/>
    <x v="3"/>
    <x v="1"/>
    <s v="High"/>
    <s v="378.8K"/>
    <n v="423300"/>
    <x v="18"/>
    <s v="Lifestyle"/>
    <n v="3513390000000"/>
    <s v="Mega"/>
  </r>
  <r>
    <n v="716"/>
    <x v="124"/>
    <s v="Demi 🌹"/>
    <n v="19900000"/>
    <s v="Good"/>
    <x v="1"/>
    <x v="1"/>
    <s v="High"/>
    <s v="130.7K"/>
    <n v="170400"/>
    <x v="15"/>
    <s v="Lifestyle"/>
    <n v="3390960000000"/>
    <m/>
  </r>
  <r>
    <n v="718"/>
    <x v="125"/>
    <s v="apple"/>
    <n v="28100000"/>
    <s v="Good"/>
    <x v="0"/>
    <x v="1"/>
    <s v="High"/>
    <s v="88.2K"/>
    <n v="118800"/>
    <x v="11"/>
    <s v="Photography"/>
    <n v="3338280000000"/>
    <m/>
  </r>
  <r>
    <n v="721"/>
    <x v="126"/>
    <s v="Grant Gustin"/>
    <n v="7800000"/>
    <s v="Good"/>
    <x v="2"/>
    <x v="1"/>
    <s v="High"/>
    <s v="305.4K"/>
    <n v="432700"/>
    <x v="0"/>
    <s v="Fashion"/>
    <n v="3375060000000"/>
    <s v="Mega"/>
  </r>
  <r>
    <n v="725"/>
    <x v="127"/>
    <s v="Netflix US"/>
    <n v="31200000"/>
    <s v="Good"/>
    <x v="2"/>
    <x v="1"/>
    <s v="High"/>
    <s v="64.1K"/>
    <n v="105200"/>
    <x v="0"/>
    <s v="Shows"/>
    <n v="3282240000000"/>
    <m/>
  </r>
  <r>
    <n v="727"/>
    <x v="128"/>
    <s v="Eugenio Derbez"/>
    <n v="18600000"/>
    <s v="Good"/>
    <x v="3"/>
    <x v="1"/>
    <s v="High"/>
    <s v="156.3K"/>
    <n v="175600"/>
    <x v="0"/>
    <s v="Lifestyle"/>
    <n v="3266160000000"/>
    <m/>
  </r>
  <r>
    <n v="728"/>
    <x v="129"/>
    <s v="Amybeth"/>
    <n v="7800000"/>
    <s v="Good"/>
    <x v="2"/>
    <x v="1"/>
    <s v="High"/>
    <s v="307.9K"/>
    <n v="423000"/>
    <x v="10"/>
    <s v="Cinema &amp; Actors/actresses"/>
    <n v="3299400000000"/>
    <s v="Mega"/>
  </r>
  <r>
    <n v="730"/>
    <x v="130"/>
    <s v="JukiLop"/>
    <n v="9400000"/>
    <s v="Good"/>
    <x v="3"/>
    <x v="1"/>
    <s v="High"/>
    <s v="300K"/>
    <n v="349100"/>
    <x v="3"/>
    <s v="Family"/>
    <n v="3281540000000"/>
    <s v="Mega"/>
  </r>
  <r>
    <n v="732"/>
    <x v="131"/>
    <s v="Simonetta Lein"/>
    <n v="12400000"/>
    <s v="Good"/>
    <x v="0"/>
    <x v="1"/>
    <s v="High"/>
    <s v="188.8K"/>
    <n v="260100"/>
    <x v="12"/>
    <s v="Cinema &amp; Actors/actresses"/>
    <n v="3225240000000"/>
    <m/>
  </r>
  <r>
    <n v="735"/>
    <x v="132"/>
    <s v="Adriana Lima"/>
    <n v="14900000"/>
    <s v="Good"/>
    <x v="1"/>
    <x v="1"/>
    <s v="High"/>
    <s v="146.4K"/>
    <n v="215400"/>
    <x v="15"/>
    <s v="Fashion"/>
    <n v="3209460000000"/>
    <m/>
  </r>
  <r>
    <n v="739"/>
    <x v="133"/>
    <s v="Sonam Kapoor Ahuja"/>
    <n v="33500000"/>
    <s v="Good"/>
    <x v="0"/>
    <x v="1"/>
    <s v="High"/>
    <s v="80.6K"/>
    <n v="95300"/>
    <x v="18"/>
    <s v="Modeling"/>
    <n v="3192550000000"/>
    <m/>
  </r>
  <r>
    <n v="743"/>
    <x v="134"/>
    <s v="troye sivan"/>
    <n v="13400000"/>
    <s v="Good"/>
    <x v="1"/>
    <x v="1"/>
    <s v="High"/>
    <s v="164.1K"/>
    <n v="235700"/>
    <x v="18"/>
    <s v="Modeling"/>
    <n v="3158380000000"/>
    <m/>
  </r>
  <r>
    <n v="746"/>
    <x v="135"/>
    <s v="Arnold Schwarzenegger"/>
    <n v="22600000"/>
    <s v="Good"/>
    <x v="1"/>
    <x v="1"/>
    <s v="High"/>
    <s v="118.9K"/>
    <n v="139800"/>
    <x v="0"/>
    <s v="Fitness &amp; Gym"/>
    <n v="3159480000000"/>
    <m/>
  </r>
  <r>
    <n v="750"/>
    <x v="136"/>
    <s v="ABU SAALIM"/>
    <n v="3000000"/>
    <s v="Good"/>
    <x v="0"/>
    <x v="1"/>
    <s v="High"/>
    <s v="446.5K"/>
    <n v="1100000"/>
    <x v="13"/>
    <s v="Cinema &amp; Actors/actresses"/>
    <n v="3300000000000"/>
    <s v="Mega"/>
  </r>
  <r>
    <n v="752"/>
    <x v="137"/>
    <s v="Trent Alexander-Arnold"/>
    <n v="7800000"/>
    <s v="Good"/>
    <x v="13"/>
    <x v="1"/>
    <s v="High"/>
    <s v="275.4K"/>
    <n v="403300"/>
    <x v="10"/>
    <s v="Sports with a ball"/>
    <n v="3145740000000"/>
    <s v="Mega"/>
  </r>
  <r>
    <n v="753"/>
    <x v="138"/>
    <s v="🌎  EarthPix  🌎"/>
    <n v="23200000"/>
    <s v="Good"/>
    <x v="1"/>
    <x v="1"/>
    <s v="High"/>
    <s v="102.8K"/>
    <n v="133300"/>
    <x v="8"/>
    <s v="Photography"/>
    <n v="3092560000000"/>
    <m/>
  </r>
  <r>
    <n v="754"/>
    <x v="139"/>
    <s v="Måneskin"/>
    <n v="6200000"/>
    <s v="Good"/>
    <x v="10"/>
    <x v="1"/>
    <s v="High"/>
    <s v="356.3K"/>
    <n v="502800"/>
    <x v="15"/>
    <s v="Cinema &amp; Actors/actresses"/>
    <n v="3117360000000"/>
    <s v="Mega"/>
  </r>
  <r>
    <n v="760"/>
    <x v="140"/>
    <s v="Vogue"/>
    <n v="40300000"/>
    <s v="Good"/>
    <x v="1"/>
    <x v="1"/>
    <s v="High"/>
    <s v="50.5K"/>
    <n v="76100"/>
    <x v="9"/>
    <s v="Fashion"/>
    <n v="3066830000000"/>
    <m/>
  </r>
  <r>
    <n v="761"/>
    <x v="141"/>
    <s v="Valentina Zenere"/>
    <n v="10100000"/>
    <s v="Good"/>
    <x v="2"/>
    <x v="1"/>
    <s v="High"/>
    <s v="248.4K"/>
    <n v="302500"/>
    <x v="15"/>
    <s v="Lifestyle"/>
    <n v="3055250000000"/>
    <m/>
  </r>
  <r>
    <n v="772"/>
    <x v="142"/>
    <s v="Nike Football (Soccer)"/>
    <n v="45400000"/>
    <s v="Good"/>
    <x v="2"/>
    <x v="1"/>
    <s v="High"/>
    <s v="42.8K"/>
    <n v="66100"/>
    <x v="7"/>
    <s v="Clothing &amp; Outfits"/>
    <n v="3000940000000"/>
    <m/>
  </r>
  <r>
    <n v="773"/>
    <x v="143"/>
    <s v="Candice King"/>
    <n v="10000000"/>
    <s v="Good"/>
    <x v="2"/>
    <x v="1"/>
    <s v="High"/>
    <s v="214.1K"/>
    <n v="298400"/>
    <x v="4"/>
    <s v="Lifestyle"/>
    <n v="2984000000000"/>
    <s v="Mega"/>
  </r>
  <r>
    <n v="776"/>
    <x v="144"/>
    <s v="Javon &quot;Wanna&quot; Walton"/>
    <n v="6000000"/>
    <s v="Good"/>
    <x v="1"/>
    <x v="1"/>
    <s v="High"/>
    <s v="301.8K"/>
    <n v="503800"/>
    <x v="10"/>
    <s v="Cinema &amp; Actors/actresses"/>
    <n v="3022800000000"/>
    <s v="Mega"/>
  </r>
  <r>
    <n v="779"/>
    <x v="145"/>
    <s v="Retchê"/>
    <n v="7700000"/>
    <s v="Good"/>
    <x v="2"/>
    <x v="1"/>
    <s v="High"/>
    <s v="153.9K"/>
    <n v="392800"/>
    <x v="10"/>
    <s v="Photography"/>
    <n v="3024560000000"/>
    <s v="Mega"/>
  </r>
  <r>
    <n v="782"/>
    <x v="146"/>
    <s v="Ahmed Abouhashima"/>
    <n v="17300000"/>
    <s v="Good"/>
    <x v="11"/>
    <x v="1"/>
    <s v="High"/>
    <s v="125.9K"/>
    <n v="170000"/>
    <x v="20"/>
    <s v="Finance &amp; Economics"/>
    <n v="2941000000000"/>
    <m/>
  </r>
  <r>
    <n v="787"/>
    <x v="147"/>
    <s v="Ксения Бородина"/>
    <n v="19100000"/>
    <s v="Good"/>
    <x v="5"/>
    <x v="1"/>
    <s v="High"/>
    <s v="124K"/>
    <n v="152900"/>
    <x v="3"/>
    <s v="Family"/>
    <n v="2920390000000"/>
    <m/>
  </r>
  <r>
    <n v="796"/>
    <x v="148"/>
    <s v="jasprit bumrah"/>
    <n v="9800000"/>
    <s v="Good"/>
    <x v="0"/>
    <x v="1"/>
    <s v="High"/>
    <s v="256.6K"/>
    <n v="294800"/>
    <x v="10"/>
    <s v="Sports with a ball"/>
    <n v="2889040000000"/>
    <s v="Mega"/>
  </r>
  <r>
    <n v="800"/>
    <x v="149"/>
    <s v="SpaceX"/>
    <n v="15800000"/>
    <s v="Good"/>
    <x v="1"/>
    <x v="1"/>
    <s v="High"/>
    <s v="148.7K"/>
    <n v="180900"/>
    <x v="2"/>
    <s v="Machinery &amp; Technologies"/>
    <n v="2858220000000"/>
    <m/>
  </r>
  <r>
    <n v="803"/>
    <x v="150"/>
    <s v="CL"/>
    <n v="10300000"/>
    <s v="Good"/>
    <x v="2"/>
    <x v="1"/>
    <s v="High"/>
    <s v="206.3K"/>
    <n v="272900"/>
    <x v="18"/>
    <s v="Modeling"/>
    <n v="2810870000000"/>
    <m/>
  </r>
  <r>
    <n v="811"/>
    <x v="151"/>
    <s v="Paolla Oliveira"/>
    <n v="34800000"/>
    <s v="Good"/>
    <x v="2"/>
    <x v="1"/>
    <s v="High"/>
    <s v="60.7K"/>
    <n v="80300"/>
    <x v="0"/>
    <s v="Lifestyle"/>
    <n v="2794440000000"/>
    <m/>
  </r>
  <r>
    <n v="815"/>
    <x v="152"/>
    <s v="Lance Stewart"/>
    <n v="6600000"/>
    <s v="Good"/>
    <x v="1"/>
    <x v="1"/>
    <s v="High"/>
    <s v="257K"/>
    <n v="426300"/>
    <x v="0"/>
    <s v="Humor &amp; Fun &amp; Happiness"/>
    <n v="2813580000000"/>
    <s v="Mega"/>
  </r>
  <r>
    <n v="830"/>
    <x v="153"/>
    <s v="Jessica Jane"/>
    <n v="5900000"/>
    <s v="Good"/>
    <x v="4"/>
    <x v="1"/>
    <s v="High"/>
    <s v="352K"/>
    <n v="463900"/>
    <x v="3"/>
    <s v="Modeling"/>
    <n v="2737010000000"/>
    <s v="Mega"/>
  </r>
  <r>
    <n v="833"/>
    <x v="154"/>
    <s v="Dhanashree Verma"/>
    <n v="5200000"/>
    <s v="Good"/>
    <x v="0"/>
    <x v="1"/>
    <s v="High"/>
    <s v="417.2K"/>
    <n v="525000"/>
    <x v="10"/>
    <s v="Cinema &amp; Actors/actresses"/>
    <n v="2730000000000"/>
    <s v="Mega"/>
  </r>
  <r>
    <n v="834"/>
    <x v="155"/>
    <s v="Andrea Brillantes"/>
    <n v="13500000"/>
    <s v="Good"/>
    <x v="9"/>
    <x v="1"/>
    <s v="High"/>
    <s v="175.4K"/>
    <n v="199900"/>
    <x v="0"/>
    <s v="Modeling"/>
    <n v="2698650000000"/>
    <m/>
  </r>
  <r>
    <n v="835"/>
    <x v="156"/>
    <s v="AK"/>
    <n v="12400000"/>
    <s v="Good"/>
    <x v="1"/>
    <x v="1"/>
    <s v="High"/>
    <s v="179.4K"/>
    <n v="219500"/>
    <x v="10"/>
    <s v="Modeling"/>
    <n v="2721800000000"/>
    <m/>
  </r>
  <r>
    <n v="839"/>
    <x v="157"/>
    <s v="Álvaro Morata"/>
    <n v="17900000"/>
    <s v="Good"/>
    <x v="10"/>
    <x v="1"/>
    <s v="High"/>
    <s v="96.7K"/>
    <n v="149500"/>
    <x v="7"/>
    <s v="Literature &amp; Journalism"/>
    <n v="2676050000000"/>
    <m/>
  </r>
  <r>
    <n v="844"/>
    <x v="158"/>
    <s v="Scott Disick"/>
    <n v="27500000"/>
    <s v="Good"/>
    <x v="1"/>
    <x v="1"/>
    <s v="High"/>
    <s v="64.1K"/>
    <n v="96900"/>
    <x v="10"/>
    <s v="Family"/>
    <n v="2664750000000"/>
    <m/>
  </r>
  <r>
    <n v="845"/>
    <x v="159"/>
    <s v="Jimmy Fallon"/>
    <n v="23000000"/>
    <s v="Good"/>
    <x v="1"/>
    <x v="1"/>
    <s v="High"/>
    <s v="92.5K"/>
    <n v="115800"/>
    <x v="3"/>
    <s v="Humor &amp; Fun &amp; Happiness"/>
    <n v="2663400000000"/>
    <m/>
  </r>
  <r>
    <n v="846"/>
    <x v="160"/>
    <s v="♡sofia castro"/>
    <n v="8800000"/>
    <s v="Good"/>
    <x v="6"/>
    <x v="1"/>
    <s v="High"/>
    <s v="225K"/>
    <n v="306400"/>
    <x v="3"/>
    <s v="Cinema &amp; Actors/actresses"/>
    <n v="2696320000000"/>
    <s v="Mega"/>
  </r>
  <r>
    <n v="847"/>
    <x v="161"/>
    <s v="Валерия Чекалина"/>
    <n v="10400000"/>
    <s v="Good"/>
    <x v="5"/>
    <x v="1"/>
    <s v="High"/>
    <s v="197.2K"/>
    <n v="254300"/>
    <x v="10"/>
    <s v="Beauty"/>
    <n v="2644720000000"/>
    <m/>
  </r>
  <r>
    <n v="849"/>
    <x v="162"/>
    <s v="IQRA AZIZ HUSSAIN🇵🇰"/>
    <n v="8800000"/>
    <s v="Good"/>
    <x v="0"/>
    <x v="1"/>
    <s v="High"/>
    <s v="265.6K"/>
    <n v="302700"/>
    <x v="12"/>
    <s v="Modeling"/>
    <n v="2663760000000"/>
    <s v="Mega"/>
  </r>
  <r>
    <n v="850"/>
    <x v="163"/>
    <s v="Maitreyi Ramakrishnan"/>
    <n v="3800000"/>
    <s v="Good"/>
    <x v="2"/>
    <x v="1"/>
    <s v="High"/>
    <s v="485.4K"/>
    <n v="710100"/>
    <x v="13"/>
    <s v="Cinema &amp; Actors/actresses"/>
    <n v="2698380000000"/>
    <s v="Mega"/>
  </r>
  <r>
    <n v="852"/>
    <x v="164"/>
    <s v="Priyanka Mohan"/>
    <n v="3500000"/>
    <s v="Good"/>
    <x v="0"/>
    <x v="1"/>
    <s v="High"/>
    <s v="672.3K"/>
    <n v="771500"/>
    <x v="13"/>
    <s v="Lifestyle"/>
    <n v="2700250000000"/>
    <s v="Mega"/>
  </r>
  <r>
    <n v="855"/>
    <x v="165"/>
    <s v="Duke and Duchess of Cambridge"/>
    <n v="13900000"/>
    <s v="Good"/>
    <x v="1"/>
    <x v="1"/>
    <s v="High"/>
    <s v="147.1K"/>
    <n v="187900"/>
    <x v="4"/>
    <s v="Finance &amp; Economics"/>
    <n v="2611810000000"/>
    <m/>
  </r>
  <r>
    <n v="862"/>
    <x v="166"/>
    <s v="Lauren London"/>
    <n v="9800000"/>
    <s v="Good"/>
    <x v="1"/>
    <x v="1"/>
    <s v="High"/>
    <s v="157.3K"/>
    <n v="268800"/>
    <x v="0"/>
    <s v="Modeling"/>
    <n v="2634240000000"/>
    <s v="Mega"/>
  </r>
  <r>
    <n v="865"/>
    <x v="167"/>
    <s v="HEIR JORDYN"/>
    <n v="12600000"/>
    <s v="Good"/>
    <x v="1"/>
    <x v="1"/>
    <s v="High"/>
    <s v="107.2K"/>
    <n v="203000"/>
    <x v="15"/>
    <s v="Lifestyle"/>
    <n v="2557800000000"/>
    <m/>
  </r>
  <r>
    <n v="871"/>
    <x v="168"/>
    <s v="larri"/>
    <n v="6700000"/>
    <s v="Good"/>
    <x v="1"/>
    <x v="1"/>
    <s v="High"/>
    <s v="262.1K"/>
    <n v="384500"/>
    <x v="10"/>
    <s v="Modeling"/>
    <n v="2576150000000"/>
    <s v="Mega"/>
  </r>
  <r>
    <n v="872"/>
    <x v="169"/>
    <s v="DORRA درة."/>
    <n v="15900000"/>
    <s v="Good"/>
    <x v="11"/>
    <x v="1"/>
    <s v="High"/>
    <s v="118.2K"/>
    <n v="158800"/>
    <x v="0"/>
    <s v="Fashion"/>
    <n v="2524920000000"/>
    <m/>
  </r>
  <r>
    <n v="875"/>
    <x v="170"/>
    <s v="CNN"/>
    <n v="18200000"/>
    <s v="Good"/>
    <x v="1"/>
    <x v="1"/>
    <s v="High"/>
    <s v="101.1K"/>
    <n v="139500"/>
    <x v="3"/>
    <s v="Literature &amp; Journalism"/>
    <n v="2538900000000"/>
    <m/>
  </r>
  <r>
    <n v="877"/>
    <x v="171"/>
    <s v="Jessica Mila Agnesia"/>
    <n v="22200000"/>
    <s v="Good"/>
    <x v="4"/>
    <x v="1"/>
    <s v="High"/>
    <s v="84.6K"/>
    <n v="112400"/>
    <x v="12"/>
    <s v="Modeling"/>
    <n v="2495280000000"/>
    <m/>
  </r>
  <r>
    <n v="879"/>
    <x v="172"/>
    <s v="Jessica Jung"/>
    <n v="10800000"/>
    <s v="Good"/>
    <x v="4"/>
    <x v="1"/>
    <s v="High"/>
    <s v="189.5K"/>
    <n v="232400"/>
    <x v="15"/>
    <s v="Beauty"/>
    <n v="2509920000000"/>
    <m/>
  </r>
  <r>
    <n v="883"/>
    <x v="173"/>
    <s v="Miranda Cosgrove"/>
    <n v="9800000"/>
    <s v="Good"/>
    <x v="2"/>
    <x v="1"/>
    <s v="High"/>
    <s v="163.7K"/>
    <n v="255700"/>
    <x v="0"/>
    <s v="Lifestyle"/>
    <n v="2505860000000"/>
    <s v="Mega"/>
  </r>
  <r>
    <n v="884"/>
    <x v="174"/>
    <s v="Kareena Kapoor Khan"/>
    <n v="9600000"/>
    <s v="Good"/>
    <x v="0"/>
    <x v="1"/>
    <s v="High"/>
    <s v="210.4K"/>
    <n v="262800"/>
    <x v="4"/>
    <s v="Cinema &amp; Actors/actresses"/>
    <n v="2522880000000"/>
    <s v="Mega"/>
  </r>
  <r>
    <n v="891"/>
    <x v="175"/>
    <s v="渡辺直美　Naomi watanabe"/>
    <n v="9900000"/>
    <s v="Good"/>
    <x v="14"/>
    <x v="1"/>
    <s v="High"/>
    <s v="235.2K"/>
    <n v="250500"/>
    <x v="0"/>
    <s v="Humor &amp; Fun &amp; Happiness"/>
    <n v="2479950000000"/>
    <s v="Mega"/>
  </r>
  <r>
    <n v="896"/>
    <x v="176"/>
    <s v="Yuzvendra Chahal"/>
    <n v="8100000"/>
    <s v="Good"/>
    <x v="0"/>
    <x v="1"/>
    <s v="High"/>
    <s v="249.6K"/>
    <n v="304000"/>
    <x v="10"/>
    <s v="Sports with a ball"/>
    <n v="2462400000000"/>
    <s v="Mega"/>
  </r>
  <r>
    <n v="897"/>
    <x v="177"/>
    <s v="Kylie Cosmetics"/>
    <n v="26000000"/>
    <s v="Good"/>
    <x v="1"/>
    <x v="1"/>
    <s v="High"/>
    <s v="65.1K"/>
    <n v="93700"/>
    <x v="12"/>
    <s v="Shopping &amp; Retail"/>
    <n v="2436200000000"/>
    <m/>
  </r>
  <r>
    <n v="899"/>
    <x v="178"/>
    <s v="Ridwan Kamil"/>
    <n v="19000000"/>
    <s v="Good"/>
    <x v="4"/>
    <x v="1"/>
    <s v="High"/>
    <s v="85.1K"/>
    <n v="130000"/>
    <x v="9"/>
    <s v="Business &amp; Careers"/>
    <n v="2470000000000"/>
    <m/>
  </r>
  <r>
    <n v="903"/>
    <x v="179"/>
    <s v="Ansu Fati"/>
    <n v="9000000"/>
    <s v="Good"/>
    <x v="15"/>
    <x v="1"/>
    <s v="High"/>
    <s v="180.2K"/>
    <n v="273300"/>
    <x v="7"/>
    <s v="Winter sports"/>
    <n v="2459700000000"/>
    <s v="Mega"/>
  </r>
  <r>
    <n v="904"/>
    <x v="180"/>
    <s v="Hania Aamir 哈尼亚·阿米尔"/>
    <n v="6000000"/>
    <s v="Good"/>
    <x v="16"/>
    <x v="1"/>
    <s v="High"/>
    <s v="360.4K"/>
    <n v="413200"/>
    <x v="12"/>
    <s v="Lifestyle"/>
    <n v="2479200000000"/>
    <s v="Mega"/>
  </r>
  <r>
    <n v="907"/>
    <x v="181"/>
    <s v="Jacksepticeye"/>
    <n v="7900000"/>
    <s v="Good"/>
    <x v="1"/>
    <x v="1"/>
    <s v="High"/>
    <s v="268.2K"/>
    <n v="311500"/>
    <x v="11"/>
    <s v="Machinery &amp; Technologies"/>
    <n v="2460850000000"/>
    <s v="Mega"/>
  </r>
  <r>
    <n v="909"/>
    <x v="182"/>
    <s v="Nidhhi Agerwal 🌟"/>
    <n v="25400000"/>
    <s v="Good"/>
    <x v="0"/>
    <x v="1"/>
    <s v="High"/>
    <s v="79.2K"/>
    <n v="94700"/>
    <x v="0"/>
    <s v="Modeling"/>
    <n v="2405380000000"/>
    <m/>
  </r>
  <r>
    <n v="911"/>
    <x v="183"/>
    <s v="Nadin Serovski"/>
    <n v="9400000"/>
    <s v="Good"/>
    <x v="5"/>
    <x v="1"/>
    <s v="High"/>
    <s v="189.3K"/>
    <n v="259300"/>
    <x v="4"/>
    <s v="Lifestyle"/>
    <n v="2437420000000"/>
    <s v="Mega"/>
  </r>
  <r>
    <n v="914"/>
    <x v="184"/>
    <s v="Nash Grier"/>
    <n v="12600000"/>
    <s v="Good"/>
    <x v="1"/>
    <x v="1"/>
    <s v="High"/>
    <s v="106.3K"/>
    <n v="189900"/>
    <x v="10"/>
    <s v="Modeling"/>
    <n v="2392740000000"/>
    <m/>
  </r>
  <r>
    <n v="917"/>
    <x v="185"/>
    <s v="Lando Norris"/>
    <n v="5700000"/>
    <s v="Good"/>
    <x v="10"/>
    <x v="1"/>
    <s v="High"/>
    <s v="334.3K"/>
    <n v="421200"/>
    <x v="21"/>
    <s v="Cars &amp; Motorbikes"/>
    <n v="2400840000000"/>
    <s v="Mega"/>
  </r>
  <r>
    <n v="919"/>
    <x v="186"/>
    <s v="SOFIA ANSARI"/>
    <n v="9100000"/>
    <s v="Good"/>
    <x v="0"/>
    <x v="1"/>
    <s v="High"/>
    <s v="193.1K"/>
    <n v="268800"/>
    <x v="10"/>
    <s v="Cinema &amp; Actors/actresses"/>
    <n v="2446080000000"/>
    <s v="Mega"/>
  </r>
  <r>
    <n v="920"/>
    <x v="187"/>
    <s v="Can Yaman"/>
    <n v="10000000"/>
    <s v="Good"/>
    <x v="10"/>
    <x v="1"/>
    <s v="High"/>
    <s v="197.9K"/>
    <n v="246200"/>
    <x v="0"/>
    <s v="Modeling"/>
    <n v="2462000000000"/>
    <s v="Mega"/>
  </r>
  <r>
    <n v="921"/>
    <x v="188"/>
    <s v="Kashika Kapoor"/>
    <n v="9600000"/>
    <s v="Good"/>
    <x v="4"/>
    <x v="1"/>
    <s v="High"/>
    <s v="236.1K"/>
    <n v="254500"/>
    <x v="12"/>
    <s v="Lifestyle"/>
    <n v="2443200000000"/>
    <s v="Mega"/>
  </r>
  <r>
    <n v="927"/>
    <x v="189"/>
    <s v="Cintia Cossio"/>
    <n v="5700000"/>
    <s v="Good"/>
    <x v="6"/>
    <x v="1"/>
    <s v="High"/>
    <s v="335.3K"/>
    <n v="418700"/>
    <x v="15"/>
    <s v="Adult content"/>
    <n v="2386590000000"/>
    <s v="Mega"/>
  </r>
  <r>
    <n v="929"/>
    <x v="190"/>
    <s v="Urassaya Sperbund"/>
    <n v="11900000"/>
    <s v="Good"/>
    <x v="17"/>
    <x v="1"/>
    <s v="High"/>
    <s v="160.1K"/>
    <n v="194900"/>
    <x v="0"/>
    <s v="Modeling"/>
    <n v="2319310000000"/>
    <m/>
  </r>
  <r>
    <n v="939"/>
    <x v="191"/>
    <s v="Emory Andrew Tate III"/>
    <n v="4700000"/>
    <s v="Good"/>
    <x v="18"/>
    <x v="1"/>
    <s v="High"/>
    <s v="311K"/>
    <n v="506800"/>
    <x v="10"/>
    <s v="Racing Sports"/>
    <n v="2381960000000"/>
    <s v="Mega"/>
  </r>
  <r>
    <n v="944"/>
    <x v="192"/>
    <s v="! Julian"/>
    <n v="6400000"/>
    <s v="Good"/>
    <x v="19"/>
    <x v="1"/>
    <s v="High"/>
    <s v="294.1K"/>
    <n v="362300"/>
    <x v="10"/>
    <s v="Family"/>
    <n v="2318720000000"/>
    <s v="Mega"/>
  </r>
  <r>
    <n v="945"/>
    <x v="193"/>
    <s v="Hakken 八犬"/>
    <n v="3700000"/>
    <s v="Good"/>
    <x v="1"/>
    <x v="1"/>
    <s v="High"/>
    <s v="511.8K"/>
    <n v="625400"/>
    <x v="13"/>
    <s v="Modeling"/>
    <n v="2313980000000"/>
    <s v="Mega"/>
  </r>
  <r>
    <n v="946"/>
    <x v="194"/>
    <s v="Julia"/>
    <n v="11200000"/>
    <s v="Good"/>
    <x v="9"/>
    <x v="1"/>
    <s v="High"/>
    <s v="159.3K"/>
    <n v="203700"/>
    <x v="0"/>
    <s v="Lifestyle"/>
    <n v="2281440000000"/>
    <m/>
  </r>
  <r>
    <n v="947"/>
    <x v="195"/>
    <s v="BUGATTI"/>
    <n v="16700000"/>
    <s v="Good"/>
    <x v="1"/>
    <x v="1"/>
    <s v="High"/>
    <s v="100.8K"/>
    <n v="136400"/>
    <x v="22"/>
    <s v="Luxury"/>
    <n v="2277880000000"/>
    <m/>
  </r>
  <r>
    <n v="948"/>
    <x v="196"/>
    <s v="Joe Rogan"/>
    <n v="15600000"/>
    <s v="Good"/>
    <x v="1"/>
    <x v="1"/>
    <s v="High"/>
    <s v="105.5K"/>
    <n v="147200"/>
    <x v="6"/>
    <s v="Cinema &amp; Actors/actresses"/>
    <n v="2296320000000"/>
    <m/>
  </r>
  <r>
    <n v="951"/>
    <x v="197"/>
    <s v="ตู / t u 🌻(•ө•)ෆ⃛"/>
    <n v="3800000"/>
    <s v="Good"/>
    <x v="17"/>
    <x v="1"/>
    <s v="High"/>
    <s v="459.1K"/>
    <n v="603800"/>
    <x v="12"/>
    <s v="Lifestyle"/>
    <n v="2294440000000"/>
    <s v="Mega"/>
  </r>
  <r>
    <n v="955"/>
    <x v="198"/>
    <s v="13"/>
    <n v="18500000"/>
    <s v="Good"/>
    <x v="5"/>
    <x v="1"/>
    <s v="High"/>
    <s v="91.5K"/>
    <n v="121400"/>
    <x v="5"/>
    <s v="Lifestyle"/>
    <n v="2245900000000"/>
    <m/>
  </r>
  <r>
    <n v="956"/>
    <x v="199"/>
    <s v="Jay Shetty"/>
    <n v="11600000"/>
    <s v="Good"/>
    <x v="1"/>
    <x v="1"/>
    <s v="High"/>
    <s v="152.5K"/>
    <n v="192600"/>
    <x v="9"/>
    <s v="Trainers &amp; Coaches"/>
    <n v="2234160000000"/>
    <m/>
  </r>
  <r>
    <n v="963"/>
    <x v="200"/>
    <s v="Silambarasan TR"/>
    <n v="10200000"/>
    <s v="Good"/>
    <x v="0"/>
    <x v="1"/>
    <s v="High"/>
    <s v="169.6K"/>
    <n v="216600"/>
    <x v="3"/>
    <s v="Lifestyle"/>
    <n v="2209320000000"/>
    <m/>
  </r>
  <r>
    <n v="967"/>
    <x v="201"/>
    <s v="Nani"/>
    <n v="5300000"/>
    <s v="Good"/>
    <x v="0"/>
    <x v="1"/>
    <s v="High"/>
    <s v="387.2K"/>
    <n v="418000"/>
    <x v="6"/>
    <s v="Cinema &amp; Actors/actresses"/>
    <n v="2215400000000"/>
    <s v="Mega"/>
  </r>
  <r>
    <n v="968"/>
    <x v="202"/>
    <s v="TommyInnit"/>
    <n v="3500000"/>
    <s v="Good"/>
    <x v="20"/>
    <x v="1"/>
    <s v="High"/>
    <s v="567.8K"/>
    <n v="640400"/>
    <x v="3"/>
    <s v="Cinema &amp; Actors/actresses"/>
    <n v="2241400000000"/>
    <s v="Mega"/>
  </r>
  <r>
    <n v="977"/>
    <x v="203"/>
    <s v="Joseph Morgan"/>
    <n v="8000000"/>
    <s v="Good"/>
    <x v="2"/>
    <x v="1"/>
    <s v="High"/>
    <s v="219.8K"/>
    <n v="275100"/>
    <x v="0"/>
    <s v="Lifestyle"/>
    <n v="2200800000000"/>
    <s v="Mega"/>
  </r>
  <r>
    <n v="980"/>
    <x v="204"/>
    <s v="Tejasswi Prakash"/>
    <n v="6300000"/>
    <s v="Good"/>
    <x v="0"/>
    <x v="1"/>
    <s v="High"/>
    <s v="304.4K"/>
    <n v="376700"/>
    <x v="18"/>
    <s v="Beauty"/>
    <n v="2373210000000"/>
    <s v="Mega"/>
  </r>
  <r>
    <n v="981"/>
    <x v="205"/>
    <s v="Shahin Samad poor شاهین صمدپور"/>
    <n v="4700000"/>
    <s v="Good"/>
    <x v="8"/>
    <x v="1"/>
    <s v="High"/>
    <s v="360.5K"/>
    <n v="475900"/>
    <x v="9"/>
    <s v="Cinema &amp; Actors/actresses"/>
    <n v="2236730000000"/>
    <s v="Mega"/>
  </r>
  <r>
    <n v="985"/>
    <x v="206"/>
    <s v="Mario Casas"/>
    <n v="7000000"/>
    <s v="Good"/>
    <x v="15"/>
    <x v="1"/>
    <s v="High"/>
    <s v="210.1K"/>
    <n v="311000"/>
    <x v="15"/>
    <s v="Cinema &amp; Actors/actresses"/>
    <n v="2177000000000"/>
    <s v="Mega"/>
  </r>
  <r>
    <n v="987"/>
    <x v="207"/>
    <s v="Jeremy Renner"/>
    <n v="17900000"/>
    <s v="Good"/>
    <x v="1"/>
    <x v="1"/>
    <s v="High"/>
    <s v="99.8K"/>
    <n v="119300"/>
    <x v="3"/>
    <s v="Cinema &amp; Actors/actresses"/>
    <n v="2135470000000"/>
    <m/>
  </r>
  <r>
    <n v="997"/>
    <x v="208"/>
    <s v="User Not Found"/>
    <n v="12900000"/>
    <s v="Good"/>
    <x v="1"/>
    <x v="1"/>
    <s v="High"/>
    <s v="127.8K"/>
    <n v="163900"/>
    <x v="11"/>
    <s v="Machinery &amp; Technologies"/>
    <n v="2114310000000"/>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udience_country" sourceName="audience_country">
  <data>
    <tabular pivotCacheId="1">
      <items count="21">
        <i x="2" s="1"/>
        <i x="6" s="1"/>
        <i x="11" s="1"/>
        <i x="20" s="1"/>
        <i x="19" s="1"/>
        <i x="0" s="1"/>
        <i x="4" s="1"/>
        <i x="8" s="1"/>
        <i x="10" s="1"/>
        <i x="14" s="1"/>
        <i x="3" s="1"/>
        <i x="16" s="1"/>
        <i x="9" s="1"/>
        <i x="18" s="1"/>
        <i x="5" s="1"/>
        <i x="12" s="1"/>
        <i x="15" s="1"/>
        <i x="17" s="1"/>
        <i x="7" s="1"/>
        <i x="1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fluencer_Tier" sourceName="Influencer Tier">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_1" sourceName="category_1">
  <data>
    <tabular pivotCacheId="1">
      <items count="23">
        <i x="12"/>
        <i x="20"/>
        <i x="22"/>
        <i x="0"/>
        <i x="1"/>
        <i x="11"/>
        <i x="16"/>
        <i x="4"/>
        <i x="18" s="1"/>
        <i x="14"/>
        <i x="5"/>
        <i x="6"/>
        <i x="10"/>
        <i x="9"/>
        <i x="17"/>
        <i x="15"/>
        <i x="8"/>
        <i x="13"/>
        <i x="21"/>
        <i x="2"/>
        <i x="3"/>
        <i x="7"/>
        <i x="1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udience_country 1" cache="Slicer_audience_country" caption="audience_country" startItem="13" rowHeight="241300"/>
  <slicer name="Influencer Tier 1" cache="Slicer_Influencer_Tier" caption="Influencer Tier" rowHeight="241300"/>
  <slicer name="category_1 1" cache="Slicer_category_1" caption="category_1" rowHeight="241300"/>
</slicers>
</file>

<file path=xl/tables/table1.xml><?xml version="1.0" encoding="utf-8"?>
<table xmlns="http://schemas.openxmlformats.org/spreadsheetml/2006/main" id="1" name="Table1" displayName="Table1" ref="A1:M214" totalsRowShown="0" headerRowDxfId="3" headerRowBorderDxfId="4" tableBorderDxfId="5">
  <autoFilter ref="A1:M214"/>
  <tableColumns count="13">
    <tableColumn id="1" name="_x000a_ "/>
    <tableColumn id="2" name="instagram_name"/>
    <tableColumn id="3" name="_name"/>
    <tableColumn id="4" name="subscribers"/>
    <tableColumn id="15" name="Fake Influencer Detection" dataDxfId="0">
      <calculatedColumnFormula>IF(H2&lt;0.01,"Fake","Good")</calculatedColumnFormula>
    </tableColumn>
    <tableColumn id="5" name="audience_country"/>
    <tableColumn id="13" name="Influencer Tier" dataDxfId="1">
      <calculatedColumnFormula>IF(D1&lt;10000,"Nano",IF(D1&lt;100000,"Micro",IF(D1&lt;1000000,"Macro","Mega")))</calculatedColumnFormula>
    </tableColumn>
    <tableColumn id="12" name="Engagement Category" dataDxfId="2">
      <calculatedColumnFormula>IF(J2&gt;0.05,"High",IF(J2&gt;0.02,"Medium","Low"))</calculatedColumnFormula>
    </tableColumn>
    <tableColumn id="6" name="authentic_engagement"/>
    <tableColumn id="7" name="engagement_average"/>
    <tableColumn id="8" name="category_1"/>
    <tableColumn id="9" name="category_2"/>
    <tableColumn id="10" name="engagement_sco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tabSelected="1" workbookViewId="0">
      <selection activeCell="A4" sqref="A4:P32"/>
    </sheetView>
  </sheetViews>
  <sheetFormatPr defaultRowHeight="15" x14ac:dyDescent="0.25"/>
  <sheetData>
    <row r="1" spans="1:16" x14ac:dyDescent="0.25">
      <c r="A1" s="3"/>
      <c r="B1" s="3"/>
      <c r="C1" s="3"/>
      <c r="D1" s="3"/>
      <c r="E1" s="3"/>
      <c r="F1" s="3"/>
      <c r="G1" s="3"/>
      <c r="H1" s="3"/>
      <c r="I1" s="3"/>
      <c r="J1" s="3"/>
      <c r="K1" s="3"/>
      <c r="L1" s="3"/>
      <c r="M1" s="3"/>
      <c r="N1" s="3"/>
      <c r="O1" s="3"/>
      <c r="P1" s="3"/>
    </row>
    <row r="2" spans="1:16" x14ac:dyDescent="0.25">
      <c r="A2" s="3"/>
      <c r="B2" s="3"/>
      <c r="C2" s="3"/>
      <c r="D2" s="3"/>
      <c r="E2" s="3"/>
      <c r="F2" s="3"/>
      <c r="G2" s="3"/>
      <c r="H2" s="3"/>
      <c r="I2" s="3"/>
      <c r="J2" s="3"/>
      <c r="K2" s="3"/>
      <c r="L2" s="3"/>
      <c r="M2" s="3"/>
      <c r="N2" s="3"/>
      <c r="O2" s="3"/>
      <c r="P2" s="3"/>
    </row>
    <row r="3" spans="1:16" x14ac:dyDescent="0.25">
      <c r="A3" s="3"/>
      <c r="B3" s="3"/>
      <c r="C3" s="3"/>
      <c r="D3" s="3"/>
      <c r="E3" s="3"/>
      <c r="F3" s="3"/>
      <c r="G3" s="3"/>
      <c r="H3" s="3"/>
      <c r="I3" s="3"/>
      <c r="J3" s="3"/>
      <c r="K3" s="3"/>
      <c r="L3" s="3"/>
      <c r="M3" s="3"/>
      <c r="N3" s="3"/>
      <c r="O3" s="3"/>
      <c r="P3" s="3"/>
    </row>
    <row r="4" spans="1:16" x14ac:dyDescent="0.25">
      <c r="A4" s="3"/>
      <c r="B4" s="3"/>
      <c r="C4" s="3"/>
      <c r="D4" s="3"/>
      <c r="E4" s="3"/>
      <c r="F4" s="3"/>
      <c r="G4" s="3"/>
      <c r="H4" s="3"/>
      <c r="I4" s="3"/>
      <c r="J4" s="3"/>
      <c r="K4" s="3"/>
      <c r="L4" s="3"/>
      <c r="M4" s="3"/>
      <c r="N4" s="3"/>
      <c r="O4" s="3"/>
      <c r="P4" s="3"/>
    </row>
    <row r="5" spans="1:16" x14ac:dyDescent="0.25">
      <c r="A5" s="3"/>
      <c r="B5" s="3"/>
      <c r="C5" s="3"/>
      <c r="D5" s="3"/>
      <c r="E5" s="3"/>
      <c r="F5" s="3"/>
      <c r="G5" s="3"/>
      <c r="H5" s="3"/>
      <c r="I5" s="3"/>
      <c r="J5" s="3"/>
      <c r="K5" s="3"/>
      <c r="L5" s="3"/>
      <c r="M5" s="3"/>
      <c r="N5" s="3"/>
      <c r="O5" s="3"/>
      <c r="P5" s="3"/>
    </row>
    <row r="6" spans="1:16" x14ac:dyDescent="0.25">
      <c r="A6" s="3"/>
      <c r="B6" s="3"/>
      <c r="C6" s="3"/>
      <c r="D6" s="3"/>
      <c r="E6" s="3"/>
      <c r="F6" s="3"/>
      <c r="G6" s="3"/>
      <c r="H6" s="3"/>
      <c r="I6" s="3"/>
      <c r="J6" s="3"/>
      <c r="K6" s="3"/>
      <c r="L6" s="3"/>
      <c r="M6" s="3"/>
      <c r="N6" s="3"/>
      <c r="O6" s="3"/>
      <c r="P6" s="3"/>
    </row>
    <row r="7" spans="1:16" x14ac:dyDescent="0.25">
      <c r="A7" s="3"/>
      <c r="B7" s="3"/>
      <c r="C7" s="3"/>
      <c r="D7" s="3"/>
      <c r="E7" s="3"/>
      <c r="F7" s="3"/>
      <c r="G7" s="3"/>
      <c r="H7" s="3"/>
      <c r="I7" s="3"/>
      <c r="J7" s="3"/>
      <c r="K7" s="3"/>
      <c r="L7" s="3"/>
      <c r="M7" s="3"/>
      <c r="N7" s="3"/>
      <c r="O7" s="3"/>
      <c r="P7" s="3"/>
    </row>
    <row r="8" spans="1:16" x14ac:dyDescent="0.25">
      <c r="A8" s="3"/>
      <c r="B8" s="3"/>
      <c r="C8" s="3"/>
      <c r="D8" s="3"/>
      <c r="E8" s="3"/>
      <c r="F8" s="3"/>
      <c r="G8" s="3"/>
      <c r="H8" s="3"/>
      <c r="I8" s="3"/>
      <c r="J8" s="3"/>
      <c r="K8" s="3"/>
      <c r="L8" s="3"/>
      <c r="M8" s="3"/>
      <c r="N8" s="3"/>
      <c r="O8" s="3"/>
      <c r="P8" s="3"/>
    </row>
    <row r="9" spans="1:16" x14ac:dyDescent="0.25">
      <c r="A9" s="3"/>
      <c r="B9" s="3"/>
      <c r="C9" s="3"/>
      <c r="D9" s="3"/>
      <c r="E9" s="3"/>
      <c r="F9" s="3"/>
      <c r="G9" s="3"/>
      <c r="H9" s="3"/>
      <c r="I9" s="3"/>
      <c r="J9" s="3"/>
      <c r="K9" s="3"/>
      <c r="L9" s="3"/>
      <c r="M9" s="3"/>
      <c r="N9" s="3"/>
      <c r="O9" s="3"/>
      <c r="P9" s="3"/>
    </row>
    <row r="10" spans="1:16" x14ac:dyDescent="0.25">
      <c r="A10" s="3"/>
      <c r="B10" s="3"/>
      <c r="C10" s="3"/>
      <c r="D10" s="3"/>
      <c r="E10" s="3"/>
      <c r="F10" s="3"/>
      <c r="G10" s="3"/>
      <c r="H10" s="3"/>
      <c r="I10" s="3"/>
      <c r="J10" s="3"/>
      <c r="K10" s="3"/>
      <c r="L10" s="3"/>
      <c r="M10" s="3"/>
      <c r="N10" s="3"/>
      <c r="O10" s="3"/>
      <c r="P10" s="3"/>
    </row>
    <row r="11" spans="1:16" x14ac:dyDescent="0.25">
      <c r="A11" s="3"/>
      <c r="B11" s="3"/>
      <c r="C11" s="3"/>
      <c r="D11" s="3"/>
      <c r="E11" s="3"/>
      <c r="F11" s="3"/>
      <c r="G11" s="3"/>
      <c r="H11" s="3"/>
      <c r="I11" s="3"/>
      <c r="J11" s="3"/>
      <c r="K11" s="3"/>
      <c r="L11" s="3"/>
      <c r="M11" s="3"/>
      <c r="N11" s="3"/>
      <c r="O11" s="3"/>
      <c r="P11" s="3"/>
    </row>
    <row r="12" spans="1:16" x14ac:dyDescent="0.25">
      <c r="A12" s="3"/>
      <c r="B12" s="3"/>
      <c r="C12" s="3"/>
      <c r="D12" s="3"/>
      <c r="E12" s="3"/>
      <c r="F12" s="3"/>
      <c r="G12" s="3"/>
      <c r="H12" s="3"/>
      <c r="I12" s="3"/>
      <c r="J12" s="3"/>
      <c r="K12" s="3"/>
      <c r="L12" s="3"/>
      <c r="M12" s="3"/>
      <c r="N12" s="3"/>
      <c r="O12" s="3"/>
      <c r="P12" s="3"/>
    </row>
    <row r="13" spans="1:16" x14ac:dyDescent="0.25">
      <c r="A13" s="3"/>
      <c r="B13" s="3"/>
      <c r="C13" s="3"/>
      <c r="D13" s="3"/>
      <c r="E13" s="3"/>
      <c r="F13" s="3"/>
      <c r="G13" s="3"/>
      <c r="H13" s="3"/>
      <c r="I13" s="3"/>
      <c r="J13" s="3"/>
      <c r="K13" s="3"/>
      <c r="L13" s="3"/>
      <c r="M13" s="3"/>
      <c r="N13" s="3"/>
      <c r="O13" s="3"/>
      <c r="P13" s="3"/>
    </row>
    <row r="14" spans="1:16" x14ac:dyDescent="0.25">
      <c r="A14" s="3"/>
      <c r="B14" s="3"/>
      <c r="C14" s="3"/>
      <c r="D14" s="3"/>
      <c r="E14" s="3"/>
      <c r="F14" s="3"/>
      <c r="G14" s="3"/>
      <c r="H14" s="3"/>
      <c r="I14" s="3"/>
      <c r="J14" s="3"/>
      <c r="K14" s="3"/>
      <c r="L14" s="3"/>
      <c r="M14" s="3"/>
      <c r="N14" s="3"/>
      <c r="O14" s="3"/>
      <c r="P14" s="3"/>
    </row>
    <row r="15" spans="1:16" x14ac:dyDescent="0.25">
      <c r="A15" s="3"/>
      <c r="B15" s="3"/>
      <c r="C15" s="3"/>
      <c r="D15" s="3"/>
      <c r="E15" s="3"/>
      <c r="F15" s="3"/>
      <c r="G15" s="3"/>
      <c r="H15" s="3"/>
      <c r="I15" s="3"/>
      <c r="J15" s="3"/>
      <c r="K15" s="3"/>
      <c r="L15" s="3"/>
      <c r="M15" s="3"/>
      <c r="N15" s="3"/>
      <c r="O15" s="3"/>
      <c r="P15" s="3"/>
    </row>
    <row r="16" spans="1:16" x14ac:dyDescent="0.25">
      <c r="A16" s="3"/>
      <c r="B16" s="3"/>
      <c r="C16" s="3"/>
      <c r="D16" s="3"/>
      <c r="E16" s="3"/>
      <c r="F16" s="3"/>
      <c r="G16" s="3"/>
      <c r="H16" s="3"/>
      <c r="I16" s="3"/>
      <c r="J16" s="3"/>
      <c r="K16" s="3"/>
      <c r="L16" s="3"/>
      <c r="M16" s="3"/>
      <c r="N16" s="3"/>
      <c r="O16" s="3"/>
      <c r="P16" s="3"/>
    </row>
    <row r="17" spans="1:16" x14ac:dyDescent="0.25">
      <c r="A17" s="3"/>
      <c r="B17" s="3"/>
      <c r="C17" s="3"/>
      <c r="D17" s="3"/>
      <c r="E17" s="3"/>
      <c r="F17" s="3"/>
      <c r="G17" s="3"/>
      <c r="H17" s="3"/>
      <c r="I17" s="3"/>
      <c r="J17" s="3"/>
      <c r="K17" s="3"/>
      <c r="L17" s="3"/>
      <c r="M17" s="3"/>
      <c r="N17" s="3"/>
      <c r="O17" s="3"/>
      <c r="P17" s="3"/>
    </row>
    <row r="18" spans="1:16" x14ac:dyDescent="0.25">
      <c r="A18" s="3"/>
      <c r="B18" s="3"/>
      <c r="C18" s="3"/>
      <c r="D18" s="3"/>
      <c r="E18" s="3"/>
      <c r="F18" s="3"/>
      <c r="G18" s="3"/>
      <c r="H18" s="3"/>
      <c r="I18" s="3"/>
      <c r="J18" s="3"/>
      <c r="K18" s="3"/>
      <c r="L18" s="3"/>
      <c r="M18" s="3"/>
      <c r="N18" s="3"/>
      <c r="O18" s="3"/>
      <c r="P18" s="3"/>
    </row>
    <row r="19" spans="1:16" x14ac:dyDescent="0.25">
      <c r="A19" s="3"/>
      <c r="B19" s="3"/>
      <c r="C19" s="3"/>
      <c r="D19" s="3"/>
      <c r="E19" s="3"/>
      <c r="F19" s="3"/>
      <c r="G19" s="3"/>
      <c r="H19" s="3"/>
      <c r="I19" s="3"/>
      <c r="J19" s="3"/>
      <c r="K19" s="3"/>
      <c r="L19" s="3"/>
      <c r="M19" s="3"/>
      <c r="N19" s="3"/>
      <c r="O19" s="3"/>
      <c r="P19" s="3"/>
    </row>
    <row r="20" spans="1:16" x14ac:dyDescent="0.25">
      <c r="A20" s="3"/>
      <c r="B20" s="3"/>
      <c r="C20" s="3"/>
      <c r="D20" s="3"/>
      <c r="E20" s="3"/>
      <c r="F20" s="3"/>
      <c r="G20" s="3"/>
      <c r="H20" s="3"/>
      <c r="I20" s="3"/>
      <c r="J20" s="3"/>
      <c r="K20" s="3"/>
      <c r="L20" s="3"/>
      <c r="M20" s="3"/>
      <c r="N20" s="3"/>
      <c r="O20" s="3"/>
      <c r="P20" s="3"/>
    </row>
    <row r="21" spans="1:16" x14ac:dyDescent="0.25">
      <c r="A21" s="3"/>
      <c r="B21" s="3"/>
      <c r="C21" s="3"/>
      <c r="D21" s="3"/>
      <c r="E21" s="3"/>
      <c r="F21" s="3"/>
      <c r="G21" s="3"/>
      <c r="H21" s="3"/>
      <c r="I21" s="3"/>
      <c r="J21" s="3"/>
      <c r="K21" s="3"/>
      <c r="L21" s="3"/>
      <c r="M21" s="3"/>
      <c r="N21" s="3"/>
      <c r="O21" s="3"/>
      <c r="P21" s="3"/>
    </row>
    <row r="22" spans="1:16" x14ac:dyDescent="0.25">
      <c r="A22" s="3"/>
      <c r="B22" s="3"/>
      <c r="C22" s="3"/>
      <c r="D22" s="3"/>
      <c r="E22" s="3"/>
      <c r="F22" s="3"/>
      <c r="G22" s="3"/>
      <c r="H22" s="3"/>
      <c r="I22" s="3"/>
      <c r="J22" s="3"/>
      <c r="K22" s="3"/>
      <c r="L22" s="3"/>
      <c r="M22" s="3"/>
      <c r="N22" s="3"/>
      <c r="O22" s="3"/>
      <c r="P22" s="3"/>
    </row>
    <row r="23" spans="1:16" x14ac:dyDescent="0.25">
      <c r="A23" s="3"/>
      <c r="B23" s="3"/>
      <c r="C23" s="3"/>
      <c r="D23" s="3"/>
      <c r="E23" s="3"/>
      <c r="F23" s="3"/>
      <c r="G23" s="3"/>
      <c r="H23" s="3"/>
      <c r="I23" s="3"/>
      <c r="J23" s="3"/>
      <c r="K23" s="3"/>
      <c r="L23" s="3"/>
      <c r="M23" s="3"/>
      <c r="N23" s="3"/>
      <c r="O23" s="3"/>
      <c r="P23" s="3"/>
    </row>
    <row r="24" spans="1:16" x14ac:dyDescent="0.25">
      <c r="A24" s="3"/>
      <c r="B24" s="3"/>
      <c r="C24" s="3"/>
      <c r="D24" s="3"/>
      <c r="E24" s="3"/>
      <c r="F24" s="3"/>
      <c r="G24" s="3"/>
      <c r="H24" s="3"/>
      <c r="I24" s="3"/>
      <c r="J24" s="3"/>
      <c r="K24" s="3"/>
      <c r="L24" s="3"/>
      <c r="M24" s="3"/>
      <c r="N24" s="3"/>
      <c r="O24" s="3"/>
      <c r="P24" s="3"/>
    </row>
    <row r="25" spans="1:16" x14ac:dyDescent="0.25">
      <c r="A25" s="3"/>
      <c r="B25" s="3"/>
      <c r="C25" s="3"/>
      <c r="D25" s="3"/>
      <c r="E25" s="3"/>
      <c r="F25" s="3"/>
      <c r="G25" s="3"/>
      <c r="H25" s="3"/>
      <c r="I25" s="3"/>
      <c r="J25" s="3"/>
      <c r="K25" s="3"/>
      <c r="L25" s="3"/>
      <c r="M25" s="3"/>
      <c r="N25" s="3"/>
      <c r="O25" s="3"/>
      <c r="P25" s="3"/>
    </row>
    <row r="26" spans="1:16" x14ac:dyDescent="0.25">
      <c r="A26" s="3"/>
      <c r="B26" s="3"/>
      <c r="C26" s="3"/>
      <c r="D26" s="3"/>
      <c r="E26" s="3"/>
      <c r="F26" s="3"/>
      <c r="G26" s="3"/>
      <c r="H26" s="3"/>
      <c r="I26" s="3"/>
      <c r="J26" s="3"/>
      <c r="K26" s="3"/>
      <c r="L26" s="3"/>
      <c r="M26" s="3"/>
      <c r="N26" s="3"/>
      <c r="O26" s="3"/>
      <c r="P26" s="3"/>
    </row>
    <row r="27" spans="1:16" x14ac:dyDescent="0.25">
      <c r="A27" s="3"/>
      <c r="B27" s="3"/>
      <c r="C27" s="3"/>
      <c r="D27" s="3"/>
      <c r="E27" s="3"/>
      <c r="F27" s="3"/>
      <c r="G27" s="3"/>
      <c r="H27" s="3"/>
      <c r="I27" s="3"/>
      <c r="J27" s="3"/>
      <c r="K27" s="3"/>
      <c r="L27" s="3"/>
      <c r="M27" s="3"/>
      <c r="N27" s="3"/>
      <c r="O27" s="3"/>
      <c r="P27" s="3"/>
    </row>
    <row r="28" spans="1:16" x14ac:dyDescent="0.25">
      <c r="A28" s="3"/>
      <c r="B28" s="3"/>
      <c r="C28" s="3"/>
      <c r="D28" s="3"/>
      <c r="E28" s="3"/>
      <c r="F28" s="3"/>
      <c r="G28" s="3"/>
      <c r="H28" s="3"/>
      <c r="I28" s="3"/>
      <c r="J28" s="3"/>
      <c r="K28" s="3"/>
      <c r="L28" s="3"/>
      <c r="M28" s="3"/>
      <c r="N28" s="3"/>
      <c r="O28" s="3"/>
      <c r="P28" s="3"/>
    </row>
    <row r="29" spans="1:16" x14ac:dyDescent="0.25">
      <c r="A29" s="3"/>
      <c r="B29" s="3"/>
      <c r="C29" s="3"/>
      <c r="D29" s="3"/>
      <c r="E29" s="3"/>
      <c r="F29" s="3"/>
      <c r="G29" s="3"/>
      <c r="H29" s="3"/>
      <c r="I29" s="3"/>
      <c r="J29" s="3"/>
      <c r="K29" s="3"/>
      <c r="L29" s="3"/>
      <c r="M29" s="3"/>
      <c r="N29" s="3"/>
      <c r="O29" s="3"/>
      <c r="P29" s="3"/>
    </row>
    <row r="30" spans="1:16" x14ac:dyDescent="0.25">
      <c r="A30" s="3"/>
      <c r="B30" s="3"/>
      <c r="C30" s="3"/>
      <c r="D30" s="3"/>
      <c r="E30" s="3"/>
      <c r="F30" s="3"/>
      <c r="G30" s="3"/>
      <c r="H30" s="3"/>
      <c r="I30" s="3"/>
      <c r="J30" s="3"/>
      <c r="K30" s="3"/>
      <c r="L30" s="3"/>
      <c r="M30" s="3"/>
      <c r="N30" s="3"/>
      <c r="O30" s="3"/>
      <c r="P30" s="3"/>
    </row>
    <row r="31" spans="1:16" x14ac:dyDescent="0.25">
      <c r="A31" s="3"/>
      <c r="B31" s="3"/>
      <c r="C31" s="3"/>
      <c r="D31" s="3"/>
      <c r="E31" s="3"/>
      <c r="F31" s="3"/>
      <c r="G31" s="3"/>
      <c r="H31" s="3"/>
      <c r="I31" s="3"/>
      <c r="J31" s="3"/>
      <c r="K31" s="3"/>
      <c r="L31" s="3"/>
      <c r="M31" s="3"/>
      <c r="N31" s="3"/>
      <c r="O31" s="3"/>
      <c r="P31" s="3"/>
    </row>
    <row r="32" spans="1:16" x14ac:dyDescent="0.25">
      <c r="A32" s="3"/>
      <c r="B32" s="3"/>
      <c r="C32" s="3"/>
      <c r="D32" s="3"/>
      <c r="E32" s="3"/>
      <c r="F32" s="3"/>
      <c r="G32" s="3"/>
      <c r="H32" s="3"/>
      <c r="I32" s="3"/>
      <c r="J32" s="3"/>
      <c r="K32" s="3"/>
      <c r="L32" s="3"/>
      <c r="M32" s="3"/>
      <c r="N32" s="3"/>
      <c r="O32" s="3"/>
      <c r="P32" s="3"/>
    </row>
  </sheetData>
  <mergeCells count="2">
    <mergeCell ref="A1:P3"/>
    <mergeCell ref="A4:P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4"/>
  <sheetViews>
    <sheetView workbookViewId="0">
      <selection activeCell="G4" sqref="G4"/>
    </sheetView>
  </sheetViews>
  <sheetFormatPr defaultRowHeight="15" x14ac:dyDescent="0.25"/>
  <cols>
    <col min="1" max="1" width="9.85546875" customWidth="1"/>
    <col min="2" max="2" width="19.28515625" customWidth="1"/>
    <col min="3" max="3" width="29.140625" customWidth="1"/>
    <col min="4" max="4" width="18.5703125" customWidth="1"/>
    <col min="5" max="5" width="24.5703125" customWidth="1"/>
    <col min="6" max="6" width="20.5703125" customWidth="1"/>
    <col min="7" max="7" width="19.42578125" customWidth="1"/>
    <col min="8" max="9" width="20.5703125" customWidth="1"/>
    <col min="10" max="10" width="25.5703125" customWidth="1"/>
    <col min="11" max="11" width="24.140625" customWidth="1"/>
    <col min="12" max="12" width="25.140625" customWidth="1"/>
    <col min="13" max="13" width="24.7109375" customWidth="1"/>
    <col min="15" max="15" width="11.42578125" customWidth="1"/>
    <col min="16" max="16" width="12" bestFit="1" customWidth="1"/>
  </cols>
  <sheetData>
    <row r="1" spans="1:13" ht="30" x14ac:dyDescent="0.25">
      <c r="A1" s="2" t="s">
        <v>681</v>
      </c>
      <c r="B1" s="1" t="s">
        <v>0</v>
      </c>
      <c r="C1" s="1" t="s">
        <v>1</v>
      </c>
      <c r="D1" s="1" t="s">
        <v>2</v>
      </c>
      <c r="E1" s="1" t="s">
        <v>684</v>
      </c>
      <c r="F1" s="1" t="s">
        <v>3</v>
      </c>
      <c r="G1" s="1" t="s">
        <v>683</v>
      </c>
      <c r="H1" s="1" t="s">
        <v>682</v>
      </c>
      <c r="I1" s="1" t="s">
        <v>4</v>
      </c>
      <c r="J1" s="1" t="s">
        <v>5</v>
      </c>
      <c r="K1" s="1" t="s">
        <v>6</v>
      </c>
      <c r="L1" s="1" t="s">
        <v>7</v>
      </c>
      <c r="M1" s="1" t="s">
        <v>8</v>
      </c>
    </row>
    <row r="2" spans="1:13" x14ac:dyDescent="0.25">
      <c r="A2">
        <v>38</v>
      </c>
      <c r="B2" t="s">
        <v>9</v>
      </c>
      <c r="C2" t="s">
        <v>10</v>
      </c>
      <c r="D2">
        <v>335900000</v>
      </c>
      <c r="E2" t="str">
        <f t="shared" ref="E2:E65" si="0">IF(H2&lt;0.01,"Fake","Good")</f>
        <v>Good</v>
      </c>
      <c r="F2" t="s">
        <v>11</v>
      </c>
      <c r="G2" t="s">
        <v>150</v>
      </c>
      <c r="H2" t="str">
        <f t="shared" ref="H2:H65" si="1">IF(J2&gt;0.05,"High",IF(J2&gt;0.02,"Medium","Low"))</f>
        <v>High</v>
      </c>
      <c r="I2" t="s">
        <v>12</v>
      </c>
      <c r="J2">
        <v>477500</v>
      </c>
      <c r="K2" t="s">
        <v>13</v>
      </c>
      <c r="L2" t="s">
        <v>14</v>
      </c>
      <c r="M2">
        <v>160392250000000</v>
      </c>
    </row>
    <row r="3" spans="1:13" x14ac:dyDescent="0.25">
      <c r="A3">
        <v>42</v>
      </c>
      <c r="B3" t="s">
        <v>15</v>
      </c>
      <c r="C3" t="s">
        <v>16</v>
      </c>
      <c r="D3">
        <v>268400000</v>
      </c>
      <c r="E3" t="str">
        <f t="shared" si="0"/>
        <v>Good</v>
      </c>
      <c r="F3" t="s">
        <v>17</v>
      </c>
      <c r="G3" t="str">
        <f>IF(D2&lt;10000,"Nano",IF(D2&lt;100000,"Micro",IF(D2&lt;1000000,"Macro","Mega")))</f>
        <v>Mega</v>
      </c>
      <c r="H3" t="str">
        <f t="shared" si="1"/>
        <v>High</v>
      </c>
      <c r="I3" t="s">
        <v>18</v>
      </c>
      <c r="J3">
        <v>499300</v>
      </c>
      <c r="K3" t="s">
        <v>19</v>
      </c>
      <c r="L3" t="s">
        <v>20</v>
      </c>
      <c r="M3">
        <v>134012120000000</v>
      </c>
    </row>
    <row r="4" spans="1:13" x14ac:dyDescent="0.25">
      <c r="A4">
        <v>61</v>
      </c>
      <c r="B4" t="s">
        <v>21</v>
      </c>
      <c r="C4" t="s">
        <v>22</v>
      </c>
      <c r="D4">
        <v>82300000</v>
      </c>
      <c r="E4" t="str">
        <f t="shared" si="0"/>
        <v>Good</v>
      </c>
      <c r="F4" t="s">
        <v>11</v>
      </c>
      <c r="G4" t="str">
        <f>IF(D3&lt;10000,"Nano",IF(D3&lt;100000,"Micro",IF(D3&lt;1000000,"Macro","Mega")))</f>
        <v>Mega</v>
      </c>
      <c r="H4" t="str">
        <f t="shared" si="1"/>
        <v>High</v>
      </c>
      <c r="I4" t="s">
        <v>23</v>
      </c>
      <c r="J4">
        <v>961700</v>
      </c>
      <c r="K4" t="s">
        <v>24</v>
      </c>
      <c r="L4" t="s">
        <v>25</v>
      </c>
      <c r="M4">
        <v>79147910000000</v>
      </c>
    </row>
    <row r="5" spans="1:13" x14ac:dyDescent="0.25">
      <c r="A5">
        <v>79</v>
      </c>
      <c r="B5" t="s">
        <v>26</v>
      </c>
      <c r="C5" t="s">
        <v>27</v>
      </c>
      <c r="D5">
        <v>53600000</v>
      </c>
      <c r="E5" t="str">
        <f t="shared" si="0"/>
        <v>Good</v>
      </c>
      <c r="F5" t="s">
        <v>11</v>
      </c>
      <c r="G5" t="str">
        <f>IF(D4&lt;10000,"Nano",IF(D4&lt;100000,"Micro",IF(D4&lt;1000000,"Macro","Mega")))</f>
        <v>Mega</v>
      </c>
      <c r="H5" t="str">
        <f t="shared" si="1"/>
        <v>High</v>
      </c>
      <c r="I5" t="s">
        <v>28</v>
      </c>
      <c r="J5">
        <v>988000</v>
      </c>
      <c r="K5" t="s">
        <v>13</v>
      </c>
      <c r="L5" t="s">
        <v>20</v>
      </c>
      <c r="M5">
        <v>52956800000000</v>
      </c>
    </row>
    <row r="6" spans="1:13" x14ac:dyDescent="0.25">
      <c r="A6">
        <v>89</v>
      </c>
      <c r="B6" t="s">
        <v>29</v>
      </c>
      <c r="C6" t="s">
        <v>30</v>
      </c>
      <c r="D6">
        <v>39200000</v>
      </c>
      <c r="E6" t="str">
        <f t="shared" si="0"/>
        <v>Good</v>
      </c>
      <c r="F6" t="s">
        <v>31</v>
      </c>
      <c r="G6" t="str">
        <f>IF(D5&lt;10000,"Nano",IF(D5&lt;100000,"Micro",IF(D5&lt;1000000,"Macro","Mega")))</f>
        <v>Mega</v>
      </c>
      <c r="H6" t="str">
        <f t="shared" si="1"/>
        <v>High</v>
      </c>
      <c r="I6" t="s">
        <v>32</v>
      </c>
      <c r="J6">
        <v>1100000</v>
      </c>
      <c r="K6" t="s">
        <v>33</v>
      </c>
      <c r="L6" t="s">
        <v>20</v>
      </c>
      <c r="M6">
        <v>43120000000000</v>
      </c>
    </row>
    <row r="7" spans="1:13" x14ac:dyDescent="0.25">
      <c r="A7">
        <v>108</v>
      </c>
      <c r="B7" t="s">
        <v>34</v>
      </c>
      <c r="C7" t="s">
        <v>35</v>
      </c>
      <c r="D7">
        <v>75100000</v>
      </c>
      <c r="E7" t="str">
        <f t="shared" si="0"/>
        <v>Good</v>
      </c>
      <c r="F7" t="s">
        <v>11</v>
      </c>
      <c r="G7" t="str">
        <f>IF(D6&lt;10000,"Nano",IF(D6&lt;100000,"Micro",IF(D6&lt;1000000,"Macro","Mega")))</f>
        <v>Mega</v>
      </c>
      <c r="H7" t="str">
        <f t="shared" si="1"/>
        <v>High</v>
      </c>
      <c r="I7" t="s">
        <v>36</v>
      </c>
      <c r="J7">
        <v>462300</v>
      </c>
      <c r="K7" t="s">
        <v>37</v>
      </c>
      <c r="L7" t="s">
        <v>38</v>
      </c>
      <c r="M7">
        <v>34718730000000</v>
      </c>
    </row>
    <row r="8" spans="1:13" x14ac:dyDescent="0.25">
      <c r="A8">
        <v>140</v>
      </c>
      <c r="B8" t="s">
        <v>39</v>
      </c>
      <c r="C8" t="s">
        <v>40</v>
      </c>
      <c r="D8">
        <v>24100000</v>
      </c>
      <c r="E8" t="str">
        <f t="shared" si="0"/>
        <v>Good</v>
      </c>
      <c r="F8" t="s">
        <v>11</v>
      </c>
      <c r="G8" t="str">
        <f>IF(D7&lt;10000,"Nano",IF(D7&lt;100000,"Micro",IF(D7&lt;1000000,"Macro","Mega")))</f>
        <v>Mega</v>
      </c>
      <c r="H8" t="str">
        <f t="shared" si="1"/>
        <v>High</v>
      </c>
      <c r="I8" t="s">
        <v>41</v>
      </c>
      <c r="J8">
        <v>1100000</v>
      </c>
      <c r="K8" t="s">
        <v>33</v>
      </c>
      <c r="L8" t="s">
        <v>20</v>
      </c>
      <c r="M8">
        <v>26510000000000</v>
      </c>
    </row>
    <row r="9" spans="1:13" x14ac:dyDescent="0.25">
      <c r="A9">
        <v>141</v>
      </c>
      <c r="B9" t="s">
        <v>42</v>
      </c>
      <c r="C9" t="s">
        <v>43</v>
      </c>
      <c r="D9">
        <v>235700000</v>
      </c>
      <c r="E9" t="str">
        <f t="shared" si="0"/>
        <v>Good</v>
      </c>
      <c r="F9" t="s">
        <v>17</v>
      </c>
      <c r="G9" t="str">
        <f>IF(D8&lt;10000,"Nano",IF(D8&lt;100000,"Micro",IF(D8&lt;1000000,"Macro","Mega")))</f>
        <v>Mega</v>
      </c>
      <c r="H9" t="str">
        <f t="shared" si="1"/>
        <v>High</v>
      </c>
      <c r="I9" t="s">
        <v>44</v>
      </c>
      <c r="J9">
        <v>116200</v>
      </c>
      <c r="K9" t="s">
        <v>14</v>
      </c>
      <c r="L9" t="s">
        <v>45</v>
      </c>
      <c r="M9">
        <v>27388340000000</v>
      </c>
    </row>
    <row r="10" spans="1:13" x14ac:dyDescent="0.25">
      <c r="A10">
        <v>142</v>
      </c>
      <c r="B10" t="s">
        <v>46</v>
      </c>
      <c r="C10" t="s">
        <v>47</v>
      </c>
      <c r="D10">
        <v>32400000</v>
      </c>
      <c r="E10" t="str">
        <f t="shared" si="0"/>
        <v>Good</v>
      </c>
      <c r="F10" t="s">
        <v>48</v>
      </c>
      <c r="G10" t="str">
        <f>IF(D9&lt;10000,"Nano",IF(D9&lt;100000,"Micro",IF(D9&lt;1000000,"Macro","Mega")))</f>
        <v>Mega</v>
      </c>
      <c r="H10" t="str">
        <f t="shared" si="1"/>
        <v>High</v>
      </c>
      <c r="I10" t="s">
        <v>49</v>
      </c>
      <c r="J10">
        <v>828500</v>
      </c>
      <c r="K10" t="s">
        <v>50</v>
      </c>
      <c r="L10" t="s">
        <v>19</v>
      </c>
      <c r="M10">
        <v>26843400000000</v>
      </c>
    </row>
    <row r="11" spans="1:13" x14ac:dyDescent="0.25">
      <c r="A11">
        <v>143</v>
      </c>
      <c r="B11" t="s">
        <v>51</v>
      </c>
      <c r="C11" t="s">
        <v>52</v>
      </c>
      <c r="D11">
        <v>27700000</v>
      </c>
      <c r="E11" t="str">
        <f t="shared" si="0"/>
        <v>Good</v>
      </c>
      <c r="F11" t="s">
        <v>11</v>
      </c>
      <c r="G11" t="str">
        <f>IF(D10&lt;10000,"Nano",IF(D10&lt;100000,"Micro",IF(D10&lt;1000000,"Macro","Mega")))</f>
        <v>Mega</v>
      </c>
      <c r="H11" t="str">
        <f t="shared" si="1"/>
        <v>High</v>
      </c>
      <c r="I11" t="s">
        <v>53</v>
      </c>
      <c r="J11">
        <v>968500</v>
      </c>
      <c r="K11" t="s">
        <v>14</v>
      </c>
      <c r="L11" t="s">
        <v>20</v>
      </c>
      <c r="M11">
        <v>26827450000000</v>
      </c>
    </row>
    <row r="12" spans="1:13" x14ac:dyDescent="0.25">
      <c r="A12">
        <v>154</v>
      </c>
      <c r="B12" t="s">
        <v>54</v>
      </c>
      <c r="C12" t="s">
        <v>55</v>
      </c>
      <c r="D12">
        <v>22300000</v>
      </c>
      <c r="E12" t="str">
        <f t="shared" si="0"/>
        <v>Good</v>
      </c>
      <c r="F12" t="s">
        <v>31</v>
      </c>
      <c r="G12" t="str">
        <f>IF(D11&lt;10000,"Nano",IF(D11&lt;100000,"Micro",IF(D11&lt;1000000,"Macro","Mega")))</f>
        <v>Mega</v>
      </c>
      <c r="H12" t="str">
        <f t="shared" si="1"/>
        <v>High</v>
      </c>
      <c r="I12" t="s">
        <v>56</v>
      </c>
      <c r="J12">
        <v>1100000</v>
      </c>
      <c r="K12" t="s">
        <v>38</v>
      </c>
      <c r="L12" t="s">
        <v>20</v>
      </c>
      <c r="M12">
        <v>24530000000000</v>
      </c>
    </row>
    <row r="13" spans="1:13" x14ac:dyDescent="0.25">
      <c r="A13">
        <v>158</v>
      </c>
      <c r="B13" t="s">
        <v>57</v>
      </c>
      <c r="C13" t="s">
        <v>58</v>
      </c>
      <c r="D13">
        <v>238300000</v>
      </c>
      <c r="E13" t="str">
        <f t="shared" si="0"/>
        <v>Good</v>
      </c>
      <c r="F13" t="s">
        <v>17</v>
      </c>
      <c r="G13" t="str">
        <f>IF(D12&lt;10000,"Nano",IF(D12&lt;100000,"Micro",IF(D12&lt;1000000,"Macro","Mega")))</f>
        <v>Mega</v>
      </c>
      <c r="H13" t="str">
        <f t="shared" si="1"/>
        <v>High</v>
      </c>
      <c r="I13" t="s">
        <v>59</v>
      </c>
      <c r="J13">
        <v>100300</v>
      </c>
      <c r="K13" t="s">
        <v>60</v>
      </c>
      <c r="L13" t="s">
        <v>24</v>
      </c>
      <c r="M13">
        <v>23901490000000</v>
      </c>
    </row>
    <row r="14" spans="1:13" x14ac:dyDescent="0.25">
      <c r="A14">
        <v>168</v>
      </c>
      <c r="B14" t="s">
        <v>61</v>
      </c>
      <c r="C14" t="s">
        <v>62</v>
      </c>
      <c r="D14">
        <v>42600000</v>
      </c>
      <c r="E14" t="str">
        <f t="shared" si="0"/>
        <v>Good</v>
      </c>
      <c r="F14" t="s">
        <v>11</v>
      </c>
      <c r="G14" t="str">
        <f>IF(D13&lt;10000,"Nano",IF(D13&lt;100000,"Micro",IF(D13&lt;1000000,"Macro","Mega")))</f>
        <v>Mega</v>
      </c>
      <c r="H14" t="str">
        <f t="shared" si="1"/>
        <v>High</v>
      </c>
      <c r="I14" t="s">
        <v>63</v>
      </c>
      <c r="J14">
        <v>528600</v>
      </c>
      <c r="K14" t="s">
        <v>13</v>
      </c>
      <c r="L14" t="s">
        <v>33</v>
      </c>
      <c r="M14">
        <v>22518360000000</v>
      </c>
    </row>
    <row r="15" spans="1:13" x14ac:dyDescent="0.25">
      <c r="A15">
        <v>172</v>
      </c>
      <c r="B15" t="s">
        <v>64</v>
      </c>
      <c r="C15" t="s">
        <v>65</v>
      </c>
      <c r="D15">
        <v>42100000</v>
      </c>
      <c r="E15" t="str">
        <f t="shared" si="0"/>
        <v>Good</v>
      </c>
      <c r="F15" t="s">
        <v>11</v>
      </c>
      <c r="G15" t="str">
        <f>IF(D14&lt;10000,"Nano",IF(D14&lt;100000,"Micro",IF(D14&lt;1000000,"Macro","Mega")))</f>
        <v>Mega</v>
      </c>
      <c r="H15" t="str">
        <f t="shared" si="1"/>
        <v>High</v>
      </c>
      <c r="I15" t="s">
        <v>66</v>
      </c>
      <c r="J15">
        <v>522300</v>
      </c>
      <c r="K15" t="s">
        <v>13</v>
      </c>
      <c r="L15" t="s">
        <v>33</v>
      </c>
      <c r="M15">
        <v>21988830000000</v>
      </c>
    </row>
    <row r="16" spans="1:13" x14ac:dyDescent="0.25">
      <c r="A16">
        <v>181</v>
      </c>
      <c r="B16" t="s">
        <v>67</v>
      </c>
      <c r="C16" t="s">
        <v>68</v>
      </c>
      <c r="D16">
        <v>67500000</v>
      </c>
      <c r="E16" t="str">
        <f t="shared" si="0"/>
        <v>Good</v>
      </c>
      <c r="F16" t="s">
        <v>17</v>
      </c>
      <c r="G16" t="str">
        <f>IF(D15&lt;10000,"Nano",IF(D15&lt;100000,"Micro",IF(D15&lt;1000000,"Macro","Mega")))</f>
        <v>Mega</v>
      </c>
      <c r="H16" t="str">
        <f t="shared" si="1"/>
        <v>High</v>
      </c>
      <c r="I16" t="s">
        <v>69</v>
      </c>
      <c r="J16">
        <v>306200</v>
      </c>
      <c r="K16" t="s">
        <v>70</v>
      </c>
      <c r="L16" t="s">
        <v>13</v>
      </c>
      <c r="M16">
        <v>20668500000000</v>
      </c>
    </row>
    <row r="17" spans="1:13" x14ac:dyDescent="0.25">
      <c r="A17">
        <v>184</v>
      </c>
      <c r="B17" t="s">
        <v>71</v>
      </c>
      <c r="C17" t="s">
        <v>72</v>
      </c>
      <c r="D17">
        <v>18300000</v>
      </c>
      <c r="E17" t="str">
        <f t="shared" si="0"/>
        <v>Good</v>
      </c>
      <c r="F17" t="s">
        <v>31</v>
      </c>
      <c r="G17" t="str">
        <f>IF(D16&lt;10000,"Nano",IF(D16&lt;100000,"Micro",IF(D16&lt;1000000,"Macro","Mega")))</f>
        <v>Mega</v>
      </c>
      <c r="H17" t="str">
        <f t="shared" si="1"/>
        <v>High</v>
      </c>
      <c r="I17" t="s">
        <v>73</v>
      </c>
      <c r="J17">
        <v>1100000</v>
      </c>
      <c r="K17" t="s">
        <v>20</v>
      </c>
      <c r="L17" t="s">
        <v>38</v>
      </c>
      <c r="M17">
        <v>20130000000000</v>
      </c>
    </row>
    <row r="18" spans="1:13" x14ac:dyDescent="0.25">
      <c r="A18">
        <v>185</v>
      </c>
      <c r="B18" t="s">
        <v>74</v>
      </c>
      <c r="C18" t="s">
        <v>75</v>
      </c>
      <c r="D18">
        <v>22600000</v>
      </c>
      <c r="E18" t="str">
        <f t="shared" si="0"/>
        <v>Good</v>
      </c>
      <c r="F18" t="s">
        <v>31</v>
      </c>
      <c r="G18" t="str">
        <f>IF(D17&lt;10000,"Nano",IF(D17&lt;100000,"Micro",IF(D17&lt;1000000,"Macro","Mega")))</f>
        <v>Mega</v>
      </c>
      <c r="H18" t="str">
        <f t="shared" si="1"/>
        <v>High</v>
      </c>
      <c r="I18" t="s">
        <v>76</v>
      </c>
      <c r="J18">
        <v>869600</v>
      </c>
      <c r="K18" t="s">
        <v>13</v>
      </c>
      <c r="L18" t="s">
        <v>33</v>
      </c>
      <c r="M18">
        <v>19652960000000</v>
      </c>
    </row>
    <row r="19" spans="1:13" x14ac:dyDescent="0.25">
      <c r="A19">
        <v>201</v>
      </c>
      <c r="B19" t="s">
        <v>77</v>
      </c>
      <c r="C19" t="s">
        <v>78</v>
      </c>
      <c r="D19">
        <v>24500000</v>
      </c>
      <c r="E19" t="str">
        <f t="shared" si="0"/>
        <v>Good</v>
      </c>
      <c r="F19" t="s">
        <v>79</v>
      </c>
      <c r="G19" t="str">
        <f>IF(D18&lt;10000,"Nano",IF(D18&lt;100000,"Micro",IF(D18&lt;1000000,"Macro","Mega")))</f>
        <v>Mega</v>
      </c>
      <c r="H19" t="str">
        <f t="shared" si="1"/>
        <v>High</v>
      </c>
      <c r="I19" t="s">
        <v>80</v>
      </c>
      <c r="J19">
        <v>701700</v>
      </c>
      <c r="K19" t="s">
        <v>33</v>
      </c>
      <c r="L19" t="s">
        <v>50</v>
      </c>
      <c r="M19">
        <v>17191650000000</v>
      </c>
    </row>
    <row r="20" spans="1:13" x14ac:dyDescent="0.25">
      <c r="A20">
        <v>207</v>
      </c>
      <c r="B20" t="s">
        <v>81</v>
      </c>
      <c r="C20" t="s">
        <v>82</v>
      </c>
      <c r="D20">
        <v>54100000</v>
      </c>
      <c r="E20" t="str">
        <f t="shared" si="0"/>
        <v>Good</v>
      </c>
      <c r="F20" t="s">
        <v>31</v>
      </c>
      <c r="G20" t="str">
        <f>IF(D19&lt;10000,"Nano",IF(D19&lt;100000,"Micro",IF(D19&lt;1000000,"Macro","Mega")))</f>
        <v>Mega</v>
      </c>
      <c r="H20" t="str">
        <f t="shared" si="1"/>
        <v>High</v>
      </c>
      <c r="I20" t="s">
        <v>83</v>
      </c>
      <c r="J20">
        <v>306000</v>
      </c>
      <c r="K20" t="s">
        <v>13</v>
      </c>
      <c r="L20" t="s">
        <v>37</v>
      </c>
      <c r="M20">
        <v>16554600000000</v>
      </c>
    </row>
    <row r="21" spans="1:13" x14ac:dyDescent="0.25">
      <c r="A21">
        <v>222</v>
      </c>
      <c r="B21" t="s">
        <v>84</v>
      </c>
      <c r="C21" t="s">
        <v>85</v>
      </c>
      <c r="D21">
        <v>16100000</v>
      </c>
      <c r="E21" t="str">
        <f t="shared" si="0"/>
        <v>Good</v>
      </c>
      <c r="F21" t="s">
        <v>11</v>
      </c>
      <c r="G21" t="str">
        <f>IF(D20&lt;10000,"Nano",IF(D20&lt;100000,"Micro",IF(D20&lt;1000000,"Macro","Mega")))</f>
        <v>Mega</v>
      </c>
      <c r="H21" t="str">
        <f t="shared" si="1"/>
        <v>High</v>
      </c>
      <c r="I21" t="s">
        <v>86</v>
      </c>
      <c r="J21">
        <v>935800</v>
      </c>
      <c r="K21" t="s">
        <v>87</v>
      </c>
      <c r="L21" t="s">
        <v>88</v>
      </c>
      <c r="M21">
        <v>15066380000000</v>
      </c>
    </row>
    <row r="22" spans="1:13" x14ac:dyDescent="0.25">
      <c r="A22">
        <v>224</v>
      </c>
      <c r="B22" t="s">
        <v>89</v>
      </c>
      <c r="C22" t="s">
        <v>90</v>
      </c>
      <c r="D22">
        <v>14200000</v>
      </c>
      <c r="E22" t="str">
        <f t="shared" si="0"/>
        <v>Good</v>
      </c>
      <c r="F22" t="s">
        <v>17</v>
      </c>
      <c r="G22" t="str">
        <f>IF(D21&lt;10000,"Nano",IF(D21&lt;100000,"Micro",IF(D21&lt;1000000,"Macro","Mega")))</f>
        <v>Mega</v>
      </c>
      <c r="H22" t="str">
        <f t="shared" si="1"/>
        <v>High</v>
      </c>
      <c r="I22" t="s">
        <v>91</v>
      </c>
      <c r="J22">
        <v>1000000</v>
      </c>
      <c r="K22" t="s">
        <v>20</v>
      </c>
      <c r="L22" t="s">
        <v>13</v>
      </c>
      <c r="M22">
        <v>14200000000000</v>
      </c>
    </row>
    <row r="23" spans="1:13" x14ac:dyDescent="0.25">
      <c r="A23">
        <v>226</v>
      </c>
      <c r="B23" t="s">
        <v>92</v>
      </c>
      <c r="C23" t="s">
        <v>93</v>
      </c>
      <c r="D23">
        <v>18700000</v>
      </c>
      <c r="E23" t="str">
        <f t="shared" si="0"/>
        <v>Good</v>
      </c>
      <c r="F23" t="s">
        <v>31</v>
      </c>
      <c r="G23" t="str">
        <f>IF(D22&lt;10000,"Nano",IF(D22&lt;100000,"Micro",IF(D22&lt;1000000,"Macro","Mega")))</f>
        <v>Mega</v>
      </c>
      <c r="H23" t="str">
        <f t="shared" si="1"/>
        <v>High</v>
      </c>
      <c r="I23" t="s">
        <v>94</v>
      </c>
      <c r="J23">
        <v>788200</v>
      </c>
      <c r="K23" t="s">
        <v>13</v>
      </c>
      <c r="L23" t="s">
        <v>95</v>
      </c>
      <c r="M23">
        <v>14739340000000</v>
      </c>
    </row>
    <row r="24" spans="1:13" x14ac:dyDescent="0.25">
      <c r="A24">
        <v>228</v>
      </c>
      <c r="B24" t="s">
        <v>96</v>
      </c>
      <c r="C24" t="s">
        <v>97</v>
      </c>
      <c r="D24">
        <v>23100000</v>
      </c>
      <c r="E24" t="str">
        <f t="shared" si="0"/>
        <v>Good</v>
      </c>
      <c r="F24" t="s">
        <v>11</v>
      </c>
      <c r="G24" t="str">
        <f>IF(D23&lt;10000,"Nano",IF(D23&lt;100000,"Micro",IF(D23&lt;1000000,"Macro","Mega")))</f>
        <v>Mega</v>
      </c>
      <c r="H24" t="str">
        <f t="shared" si="1"/>
        <v>High</v>
      </c>
      <c r="I24" t="s">
        <v>98</v>
      </c>
      <c r="J24">
        <v>636500</v>
      </c>
      <c r="K24" t="s">
        <v>33</v>
      </c>
      <c r="L24" t="s">
        <v>13</v>
      </c>
      <c r="M24">
        <v>14703150000000</v>
      </c>
    </row>
    <row r="25" spans="1:13" x14ac:dyDescent="0.25">
      <c r="A25">
        <v>235</v>
      </c>
      <c r="B25" t="s">
        <v>99</v>
      </c>
      <c r="C25" t="s">
        <v>100</v>
      </c>
      <c r="D25">
        <v>53500000</v>
      </c>
      <c r="E25" t="str">
        <f t="shared" si="0"/>
        <v>Good</v>
      </c>
      <c r="F25" t="s">
        <v>11</v>
      </c>
      <c r="G25" t="str">
        <f>IF(D24&lt;10000,"Nano",IF(D24&lt;100000,"Micro",IF(D24&lt;1000000,"Macro","Mega")))</f>
        <v>Mega</v>
      </c>
      <c r="H25" t="str">
        <f t="shared" si="1"/>
        <v>High</v>
      </c>
      <c r="I25" t="s">
        <v>101</v>
      </c>
      <c r="J25">
        <v>264700</v>
      </c>
      <c r="K25" t="s">
        <v>102</v>
      </c>
      <c r="L25" t="s">
        <v>13</v>
      </c>
      <c r="M25">
        <v>14161450000000</v>
      </c>
    </row>
    <row r="26" spans="1:13" x14ac:dyDescent="0.25">
      <c r="A26">
        <v>239</v>
      </c>
      <c r="B26" t="s">
        <v>103</v>
      </c>
      <c r="C26" t="s">
        <v>104</v>
      </c>
      <c r="D26">
        <v>21300000</v>
      </c>
      <c r="E26" t="str">
        <f t="shared" si="0"/>
        <v>Good</v>
      </c>
      <c r="F26" t="s">
        <v>79</v>
      </c>
      <c r="G26" t="str">
        <f>IF(D25&lt;10000,"Nano",IF(D25&lt;100000,"Micro",IF(D25&lt;1000000,"Macro","Mega")))</f>
        <v>Mega</v>
      </c>
      <c r="H26" t="str">
        <f t="shared" si="1"/>
        <v>High</v>
      </c>
      <c r="I26" t="s">
        <v>105</v>
      </c>
      <c r="J26">
        <v>640000</v>
      </c>
      <c r="K26" t="s">
        <v>25</v>
      </c>
      <c r="L26" t="s">
        <v>95</v>
      </c>
      <c r="M26">
        <v>13632000000000</v>
      </c>
    </row>
    <row r="27" spans="1:13" x14ac:dyDescent="0.25">
      <c r="A27">
        <v>241</v>
      </c>
      <c r="B27" t="s">
        <v>106</v>
      </c>
      <c r="C27" t="s">
        <v>107</v>
      </c>
      <c r="D27">
        <v>41100000</v>
      </c>
      <c r="E27" t="str">
        <f t="shared" si="0"/>
        <v>Good</v>
      </c>
      <c r="F27" t="s">
        <v>11</v>
      </c>
      <c r="G27" t="str">
        <f>IF(D26&lt;10000,"Nano",IF(D26&lt;100000,"Micro",IF(D26&lt;1000000,"Macro","Mega")))</f>
        <v>Mega</v>
      </c>
      <c r="H27" t="str">
        <f t="shared" si="1"/>
        <v>High</v>
      </c>
      <c r="I27" t="s">
        <v>108</v>
      </c>
      <c r="J27">
        <v>322000</v>
      </c>
      <c r="K27" t="s">
        <v>13</v>
      </c>
      <c r="L27" t="s">
        <v>109</v>
      </c>
      <c r="M27">
        <v>13234200000000</v>
      </c>
    </row>
    <row r="28" spans="1:13" x14ac:dyDescent="0.25">
      <c r="A28">
        <v>247</v>
      </c>
      <c r="B28" t="s">
        <v>110</v>
      </c>
      <c r="C28" t="s">
        <v>111</v>
      </c>
      <c r="D28">
        <v>21300000</v>
      </c>
      <c r="E28" t="str">
        <f t="shared" si="0"/>
        <v>Good</v>
      </c>
      <c r="F28" t="s">
        <v>31</v>
      </c>
      <c r="G28" t="str">
        <f>IF(D27&lt;10000,"Nano",IF(D27&lt;100000,"Micro",IF(D27&lt;1000000,"Macro","Mega")))</f>
        <v>Mega</v>
      </c>
      <c r="H28" t="str">
        <f t="shared" si="1"/>
        <v>High</v>
      </c>
      <c r="I28" t="s">
        <v>112</v>
      </c>
      <c r="J28">
        <v>628900</v>
      </c>
      <c r="K28" t="s">
        <v>113</v>
      </c>
      <c r="L28" t="s">
        <v>114</v>
      </c>
      <c r="M28">
        <v>13395570000000</v>
      </c>
    </row>
    <row r="29" spans="1:13" x14ac:dyDescent="0.25">
      <c r="A29">
        <v>249</v>
      </c>
      <c r="B29" t="s">
        <v>115</v>
      </c>
      <c r="C29" t="s">
        <v>116</v>
      </c>
      <c r="D29">
        <v>18500000</v>
      </c>
      <c r="E29" t="str">
        <f t="shared" si="0"/>
        <v>Good</v>
      </c>
      <c r="F29" t="s">
        <v>11</v>
      </c>
      <c r="G29" t="str">
        <f>IF(D28&lt;10000,"Nano",IF(D28&lt;100000,"Micro",IF(D28&lt;1000000,"Macro","Mega")))</f>
        <v>Mega</v>
      </c>
      <c r="H29" t="str">
        <f t="shared" si="1"/>
        <v>High</v>
      </c>
      <c r="I29" t="s">
        <v>117</v>
      </c>
      <c r="J29">
        <v>693300</v>
      </c>
      <c r="K29" t="s">
        <v>20</v>
      </c>
      <c r="L29" t="s">
        <v>13</v>
      </c>
      <c r="M29">
        <v>12826050000000</v>
      </c>
    </row>
    <row r="30" spans="1:13" x14ac:dyDescent="0.25">
      <c r="A30">
        <v>254</v>
      </c>
      <c r="B30" t="s">
        <v>118</v>
      </c>
      <c r="C30" t="s">
        <v>119</v>
      </c>
      <c r="D30">
        <v>13600000</v>
      </c>
      <c r="E30" t="str">
        <f t="shared" si="0"/>
        <v>Good</v>
      </c>
      <c r="F30" t="s">
        <v>11</v>
      </c>
      <c r="G30" t="str">
        <f>IF(D29&lt;10000,"Nano",IF(D29&lt;100000,"Micro",IF(D29&lt;1000000,"Macro","Mega")))</f>
        <v>Mega</v>
      </c>
      <c r="H30" t="str">
        <f t="shared" si="1"/>
        <v>High</v>
      </c>
      <c r="I30" t="s">
        <v>120</v>
      </c>
      <c r="J30">
        <v>921100</v>
      </c>
      <c r="K30" t="s">
        <v>102</v>
      </c>
      <c r="L30" t="s">
        <v>13</v>
      </c>
      <c r="M30">
        <v>12526960000000</v>
      </c>
    </row>
    <row r="31" spans="1:13" x14ac:dyDescent="0.25">
      <c r="A31">
        <v>255</v>
      </c>
      <c r="B31" t="s">
        <v>121</v>
      </c>
      <c r="C31" t="s">
        <v>122</v>
      </c>
      <c r="D31">
        <v>15300000</v>
      </c>
      <c r="E31" t="str">
        <f t="shared" si="0"/>
        <v>Good</v>
      </c>
      <c r="F31" t="s">
        <v>123</v>
      </c>
      <c r="G31" t="str">
        <f>IF(D30&lt;10000,"Nano",IF(D30&lt;100000,"Micro",IF(D30&lt;1000000,"Macro","Mega")))</f>
        <v>Mega</v>
      </c>
      <c r="H31" t="str">
        <f t="shared" si="1"/>
        <v>High</v>
      </c>
      <c r="I31" t="s">
        <v>124</v>
      </c>
      <c r="J31">
        <v>818100</v>
      </c>
      <c r="K31" t="s">
        <v>37</v>
      </c>
      <c r="L31" t="s">
        <v>20</v>
      </c>
      <c r="M31">
        <v>12516930000000</v>
      </c>
    </row>
    <row r="32" spans="1:13" x14ac:dyDescent="0.25">
      <c r="A32">
        <v>257</v>
      </c>
      <c r="B32" t="s">
        <v>125</v>
      </c>
      <c r="C32" t="s">
        <v>126</v>
      </c>
      <c r="D32">
        <v>20600000</v>
      </c>
      <c r="E32" t="str">
        <f t="shared" si="0"/>
        <v>Good</v>
      </c>
      <c r="F32" t="s">
        <v>11</v>
      </c>
      <c r="G32" t="str">
        <f>IF(D31&lt;10000,"Nano",IF(D31&lt;100000,"Micro",IF(D31&lt;1000000,"Macro","Mega")))</f>
        <v>Mega</v>
      </c>
      <c r="H32" t="str">
        <f t="shared" si="1"/>
        <v>High</v>
      </c>
      <c r="I32" t="s">
        <v>127</v>
      </c>
      <c r="J32">
        <v>595500</v>
      </c>
      <c r="K32" t="s">
        <v>13</v>
      </c>
      <c r="L32" t="s">
        <v>109</v>
      </c>
      <c r="M32">
        <v>12267300000000</v>
      </c>
    </row>
    <row r="33" spans="1:13" x14ac:dyDescent="0.25">
      <c r="A33">
        <v>263</v>
      </c>
      <c r="B33" t="s">
        <v>128</v>
      </c>
      <c r="C33" t="s">
        <v>129</v>
      </c>
      <c r="D33">
        <v>18200000</v>
      </c>
      <c r="E33" t="str">
        <f t="shared" si="0"/>
        <v>Good</v>
      </c>
      <c r="F33" t="s">
        <v>123</v>
      </c>
      <c r="G33" t="str">
        <f>IF(D32&lt;10000,"Nano",IF(D32&lt;100000,"Micro",IF(D32&lt;1000000,"Macro","Mega")))</f>
        <v>Mega</v>
      </c>
      <c r="H33" t="str">
        <f t="shared" si="1"/>
        <v>High</v>
      </c>
      <c r="I33" t="s">
        <v>130</v>
      </c>
      <c r="J33">
        <v>652300</v>
      </c>
      <c r="K33" t="s">
        <v>109</v>
      </c>
      <c r="L33" t="s">
        <v>95</v>
      </c>
      <c r="M33">
        <v>11871860000000</v>
      </c>
    </row>
    <row r="34" spans="1:13" x14ac:dyDescent="0.25">
      <c r="A34">
        <v>272</v>
      </c>
      <c r="B34" t="s">
        <v>131</v>
      </c>
      <c r="C34" t="s">
        <v>132</v>
      </c>
      <c r="D34">
        <v>66400000</v>
      </c>
      <c r="E34" t="str">
        <f t="shared" si="0"/>
        <v>Good</v>
      </c>
      <c r="F34" t="s">
        <v>17</v>
      </c>
      <c r="G34" t="str">
        <f>IF(D33&lt;10000,"Nano",IF(D33&lt;100000,"Micro",IF(D33&lt;1000000,"Macro","Mega")))</f>
        <v>Mega</v>
      </c>
      <c r="H34" t="str">
        <f t="shared" si="1"/>
        <v>High</v>
      </c>
      <c r="I34" t="s">
        <v>133</v>
      </c>
      <c r="J34">
        <v>175500</v>
      </c>
      <c r="K34" t="s">
        <v>13</v>
      </c>
      <c r="L34" t="s">
        <v>33</v>
      </c>
      <c r="M34">
        <v>11653200000000</v>
      </c>
    </row>
    <row r="35" spans="1:13" x14ac:dyDescent="0.25">
      <c r="A35">
        <v>277</v>
      </c>
      <c r="B35" t="s">
        <v>134</v>
      </c>
      <c r="C35" t="s">
        <v>135</v>
      </c>
      <c r="D35">
        <v>28300000</v>
      </c>
      <c r="E35" t="str">
        <f t="shared" si="0"/>
        <v>Good</v>
      </c>
      <c r="F35" t="s">
        <v>11</v>
      </c>
      <c r="G35" t="str">
        <f>IF(D34&lt;10000,"Nano",IF(D34&lt;100000,"Micro",IF(D34&lt;1000000,"Macro","Mega")))</f>
        <v>Mega</v>
      </c>
      <c r="H35" t="str">
        <f t="shared" si="1"/>
        <v>High</v>
      </c>
      <c r="I35" t="s">
        <v>136</v>
      </c>
      <c r="J35">
        <v>411800</v>
      </c>
      <c r="K35" t="s">
        <v>109</v>
      </c>
      <c r="L35" t="s">
        <v>13</v>
      </c>
      <c r="M35">
        <v>11653940000000</v>
      </c>
    </row>
    <row r="36" spans="1:13" x14ac:dyDescent="0.25">
      <c r="A36">
        <v>283</v>
      </c>
      <c r="B36" t="s">
        <v>137</v>
      </c>
      <c r="C36" t="s">
        <v>138</v>
      </c>
      <c r="D36">
        <v>35600000</v>
      </c>
      <c r="E36" t="str">
        <f t="shared" si="0"/>
        <v>Good</v>
      </c>
      <c r="F36" t="s">
        <v>11</v>
      </c>
      <c r="G36" t="str">
        <f>IF(D35&lt;10000,"Nano",IF(D35&lt;100000,"Micro",IF(D35&lt;1000000,"Macro","Mega")))</f>
        <v>Mega</v>
      </c>
      <c r="H36" t="str">
        <f t="shared" si="1"/>
        <v>High</v>
      </c>
      <c r="I36" t="s">
        <v>139</v>
      </c>
      <c r="J36">
        <v>316700</v>
      </c>
      <c r="K36" t="s">
        <v>38</v>
      </c>
      <c r="L36" t="s">
        <v>20</v>
      </c>
      <c r="M36">
        <v>11274520000000</v>
      </c>
    </row>
    <row r="37" spans="1:13" x14ac:dyDescent="0.25">
      <c r="A37">
        <v>286</v>
      </c>
      <c r="B37" t="s">
        <v>140</v>
      </c>
      <c r="C37" t="s">
        <v>141</v>
      </c>
      <c r="D37">
        <v>15300000</v>
      </c>
      <c r="E37" t="str">
        <f t="shared" si="0"/>
        <v>Good</v>
      </c>
      <c r="F37" t="s">
        <v>31</v>
      </c>
      <c r="G37" t="str">
        <f>IF(D36&lt;10000,"Nano",IF(D36&lt;100000,"Micro",IF(D36&lt;1000000,"Macro","Mega")))</f>
        <v>Mega</v>
      </c>
      <c r="H37" t="str">
        <f t="shared" si="1"/>
        <v>High</v>
      </c>
      <c r="I37" t="s">
        <v>142</v>
      </c>
      <c r="J37">
        <v>714900</v>
      </c>
      <c r="K37" t="s">
        <v>20</v>
      </c>
      <c r="L37" t="s">
        <v>13</v>
      </c>
      <c r="M37">
        <v>10937970000000</v>
      </c>
    </row>
    <row r="38" spans="1:13" x14ac:dyDescent="0.25">
      <c r="A38">
        <v>295</v>
      </c>
      <c r="B38" t="s">
        <v>143</v>
      </c>
      <c r="C38" t="s">
        <v>144</v>
      </c>
      <c r="D38">
        <v>21400000</v>
      </c>
      <c r="E38" t="str">
        <f t="shared" si="0"/>
        <v>Good</v>
      </c>
      <c r="F38" t="s">
        <v>145</v>
      </c>
      <c r="G38" t="str">
        <f>IF(D37&lt;10000,"Nano",IF(D37&lt;100000,"Micro",IF(D37&lt;1000000,"Macro","Mega")))</f>
        <v>Mega</v>
      </c>
      <c r="H38" t="str">
        <f t="shared" si="1"/>
        <v>High</v>
      </c>
      <c r="I38" t="s">
        <v>146</v>
      </c>
      <c r="J38">
        <v>498800</v>
      </c>
      <c r="K38" t="s">
        <v>33</v>
      </c>
      <c r="L38" t="s">
        <v>13</v>
      </c>
      <c r="M38">
        <v>10674320000000</v>
      </c>
    </row>
    <row r="39" spans="1:13" x14ac:dyDescent="0.25">
      <c r="A39">
        <v>302</v>
      </c>
      <c r="B39" t="s">
        <v>147</v>
      </c>
      <c r="C39" t="s">
        <v>148</v>
      </c>
      <c r="D39">
        <v>9400000</v>
      </c>
      <c r="E39" t="str">
        <f t="shared" si="0"/>
        <v>Good</v>
      </c>
      <c r="F39" t="s">
        <v>17</v>
      </c>
      <c r="G39" t="str">
        <f>IF(D38&lt;10000,"Nano",IF(D38&lt;100000,"Micro",IF(D38&lt;1000000,"Macro","Mega")))</f>
        <v>Mega</v>
      </c>
      <c r="H39" t="str">
        <f t="shared" si="1"/>
        <v>High</v>
      </c>
      <c r="I39" t="s">
        <v>149</v>
      </c>
      <c r="J39">
        <v>1100000</v>
      </c>
      <c r="K39" t="s">
        <v>33</v>
      </c>
      <c r="L39" t="s">
        <v>13</v>
      </c>
      <c r="M39">
        <v>10340000000000</v>
      </c>
    </row>
    <row r="40" spans="1:13" x14ac:dyDescent="0.25">
      <c r="A40">
        <v>303</v>
      </c>
      <c r="B40" t="s">
        <v>151</v>
      </c>
      <c r="C40" t="s">
        <v>152</v>
      </c>
      <c r="D40">
        <v>17400000</v>
      </c>
      <c r="E40" t="str">
        <f t="shared" si="0"/>
        <v>Good</v>
      </c>
      <c r="F40" t="s">
        <v>31</v>
      </c>
      <c r="G40" t="str">
        <f>IF(D39&lt;10000,"Nano",IF(D39&lt;100000,"Micro",IF(D39&lt;1000000,"Macro","Mega")))</f>
        <v>Mega</v>
      </c>
      <c r="H40" t="str">
        <f t="shared" si="1"/>
        <v>High</v>
      </c>
      <c r="I40" t="s">
        <v>153</v>
      </c>
      <c r="J40">
        <v>596800</v>
      </c>
      <c r="K40" t="s">
        <v>33</v>
      </c>
      <c r="L40" t="s">
        <v>154</v>
      </c>
      <c r="M40">
        <v>10384320000000</v>
      </c>
    </row>
    <row r="41" spans="1:13" x14ac:dyDescent="0.25">
      <c r="A41">
        <v>311</v>
      </c>
      <c r="B41" t="s">
        <v>155</v>
      </c>
      <c r="C41" t="s">
        <v>156</v>
      </c>
      <c r="D41">
        <v>13500000</v>
      </c>
      <c r="E41" t="str">
        <f t="shared" si="0"/>
        <v>Good</v>
      </c>
      <c r="F41" t="s">
        <v>157</v>
      </c>
      <c r="G41" t="str">
        <f>IF(D40&lt;10000,"Nano",IF(D40&lt;100000,"Micro",IF(D40&lt;1000000,"Macro","Mega")))</f>
        <v>Mega</v>
      </c>
      <c r="H41" t="str">
        <f t="shared" si="1"/>
        <v>High</v>
      </c>
      <c r="I41" t="s">
        <v>158</v>
      </c>
      <c r="J41">
        <v>776600</v>
      </c>
      <c r="K41" t="s">
        <v>13</v>
      </c>
      <c r="L41" t="s">
        <v>109</v>
      </c>
      <c r="M41">
        <v>10484100000000</v>
      </c>
    </row>
    <row r="42" spans="1:13" x14ac:dyDescent="0.25">
      <c r="A42">
        <v>312</v>
      </c>
      <c r="B42" t="s">
        <v>159</v>
      </c>
      <c r="C42" t="s">
        <v>160</v>
      </c>
      <c r="D42">
        <v>11500000</v>
      </c>
      <c r="E42" t="str">
        <f t="shared" si="0"/>
        <v>Good</v>
      </c>
      <c r="F42" t="s">
        <v>48</v>
      </c>
      <c r="G42" t="str">
        <f>IF(D41&lt;10000,"Nano",IF(D41&lt;100000,"Micro",IF(D41&lt;1000000,"Macro","Mega")))</f>
        <v>Mega</v>
      </c>
      <c r="H42" t="str">
        <f t="shared" si="1"/>
        <v>High</v>
      </c>
      <c r="I42" t="s">
        <v>161</v>
      </c>
      <c r="J42">
        <v>873800</v>
      </c>
      <c r="K42" t="s">
        <v>20</v>
      </c>
      <c r="L42" t="s">
        <v>13</v>
      </c>
      <c r="M42">
        <v>10048700000000</v>
      </c>
    </row>
    <row r="43" spans="1:13" x14ac:dyDescent="0.25">
      <c r="A43">
        <v>316</v>
      </c>
      <c r="B43" t="s">
        <v>162</v>
      </c>
      <c r="C43" t="s">
        <v>163</v>
      </c>
      <c r="D43">
        <v>10400000</v>
      </c>
      <c r="E43" t="str">
        <f t="shared" si="0"/>
        <v>Good</v>
      </c>
      <c r="F43" t="s">
        <v>79</v>
      </c>
      <c r="G43" t="str">
        <f>IF(D42&lt;10000,"Nano",IF(D42&lt;100000,"Micro",IF(D42&lt;1000000,"Macro","Mega")))</f>
        <v>Mega</v>
      </c>
      <c r="H43" t="str">
        <f t="shared" si="1"/>
        <v>High</v>
      </c>
      <c r="I43" t="s">
        <v>164</v>
      </c>
      <c r="J43">
        <v>944000</v>
      </c>
      <c r="K43" t="s">
        <v>109</v>
      </c>
      <c r="L43" t="s">
        <v>95</v>
      </c>
      <c r="M43">
        <v>9817600000000</v>
      </c>
    </row>
    <row r="44" spans="1:13" x14ac:dyDescent="0.25">
      <c r="A44">
        <v>335</v>
      </c>
      <c r="B44" t="s">
        <v>165</v>
      </c>
      <c r="C44" t="s">
        <v>166</v>
      </c>
      <c r="D44">
        <v>19700000</v>
      </c>
      <c r="E44" t="str">
        <f t="shared" si="0"/>
        <v>Good</v>
      </c>
      <c r="F44" t="s">
        <v>167</v>
      </c>
      <c r="G44" t="str">
        <f>IF(D43&lt;10000,"Nano",IF(D43&lt;100000,"Micro",IF(D43&lt;1000000,"Macro","Mega")))</f>
        <v>Mega</v>
      </c>
      <c r="H44" t="str">
        <f t="shared" si="1"/>
        <v>High</v>
      </c>
      <c r="I44" t="s">
        <v>168</v>
      </c>
      <c r="J44">
        <v>466900</v>
      </c>
      <c r="K44" t="s">
        <v>13</v>
      </c>
      <c r="L44" t="s">
        <v>50</v>
      </c>
      <c r="M44">
        <v>9197930000000</v>
      </c>
    </row>
    <row r="45" spans="1:13" x14ac:dyDescent="0.25">
      <c r="A45">
        <v>337</v>
      </c>
      <c r="B45" t="s">
        <v>169</v>
      </c>
      <c r="C45" t="s">
        <v>170</v>
      </c>
      <c r="D45">
        <v>24900000</v>
      </c>
      <c r="E45" t="str">
        <f t="shared" si="0"/>
        <v>Good</v>
      </c>
      <c r="F45" t="s">
        <v>11</v>
      </c>
      <c r="G45" t="str">
        <f>IF(D44&lt;10000,"Nano",IF(D44&lt;100000,"Micro",IF(D44&lt;1000000,"Macro","Mega")))</f>
        <v>Mega</v>
      </c>
      <c r="H45" t="str">
        <f t="shared" si="1"/>
        <v>High</v>
      </c>
      <c r="I45" t="s">
        <v>171</v>
      </c>
      <c r="J45">
        <v>366300</v>
      </c>
      <c r="K45" t="s">
        <v>38</v>
      </c>
      <c r="L45" t="s">
        <v>20</v>
      </c>
      <c r="M45">
        <v>9120870000000</v>
      </c>
    </row>
    <row r="46" spans="1:13" x14ac:dyDescent="0.25">
      <c r="A46">
        <v>340</v>
      </c>
      <c r="B46" t="s">
        <v>172</v>
      </c>
      <c r="C46" t="s">
        <v>173</v>
      </c>
      <c r="D46">
        <v>26700000</v>
      </c>
      <c r="E46" t="str">
        <f t="shared" si="0"/>
        <v>Good</v>
      </c>
      <c r="F46" t="s">
        <v>17</v>
      </c>
      <c r="G46" t="str">
        <f>IF(D45&lt;10000,"Nano",IF(D45&lt;100000,"Micro",IF(D45&lt;1000000,"Macro","Mega")))</f>
        <v>Mega</v>
      </c>
      <c r="H46" t="str">
        <f t="shared" si="1"/>
        <v>High</v>
      </c>
      <c r="I46" t="s">
        <v>174</v>
      </c>
      <c r="J46">
        <v>338500</v>
      </c>
      <c r="K46" t="s">
        <v>50</v>
      </c>
      <c r="L46" t="s">
        <v>38</v>
      </c>
      <c r="M46">
        <v>9037950000000</v>
      </c>
    </row>
    <row r="47" spans="1:13" x14ac:dyDescent="0.25">
      <c r="A47">
        <v>353</v>
      </c>
      <c r="B47" t="s">
        <v>175</v>
      </c>
      <c r="C47" t="s">
        <v>176</v>
      </c>
      <c r="D47">
        <v>50800000</v>
      </c>
      <c r="E47" t="str">
        <f t="shared" si="0"/>
        <v>Good</v>
      </c>
      <c r="F47" t="s">
        <v>17</v>
      </c>
      <c r="G47" t="str">
        <f>IF(D46&lt;10000,"Nano",IF(D46&lt;100000,"Micro",IF(D46&lt;1000000,"Macro","Mega")))</f>
        <v>Mega</v>
      </c>
      <c r="H47" t="str">
        <f t="shared" si="1"/>
        <v>High</v>
      </c>
      <c r="I47" t="s">
        <v>177</v>
      </c>
      <c r="J47">
        <v>174600</v>
      </c>
      <c r="K47" t="s">
        <v>113</v>
      </c>
      <c r="L47" t="s">
        <v>114</v>
      </c>
      <c r="M47">
        <v>8869680000000</v>
      </c>
    </row>
    <row r="48" spans="1:13" x14ac:dyDescent="0.25">
      <c r="A48">
        <v>361</v>
      </c>
      <c r="B48" t="s">
        <v>178</v>
      </c>
      <c r="C48" t="s">
        <v>179</v>
      </c>
      <c r="D48">
        <v>19100000</v>
      </c>
      <c r="E48" t="str">
        <f t="shared" si="0"/>
        <v>Good</v>
      </c>
      <c r="F48" t="s">
        <v>31</v>
      </c>
      <c r="G48" t="str">
        <f>IF(D47&lt;10000,"Nano",IF(D47&lt;100000,"Micro",IF(D47&lt;1000000,"Macro","Mega")))</f>
        <v>Mega</v>
      </c>
      <c r="H48" t="str">
        <f t="shared" si="1"/>
        <v>High</v>
      </c>
      <c r="I48" t="s">
        <v>180</v>
      </c>
      <c r="J48">
        <v>449300</v>
      </c>
      <c r="K48" t="s">
        <v>13</v>
      </c>
      <c r="L48" t="s">
        <v>109</v>
      </c>
      <c r="M48">
        <v>8581630000000</v>
      </c>
    </row>
    <row r="49" spans="1:13" x14ac:dyDescent="0.25">
      <c r="A49">
        <v>362</v>
      </c>
      <c r="B49" t="s">
        <v>181</v>
      </c>
      <c r="C49" t="s">
        <v>182</v>
      </c>
      <c r="D49">
        <v>45900000</v>
      </c>
      <c r="E49" t="str">
        <f t="shared" si="0"/>
        <v>Good</v>
      </c>
      <c r="F49" t="s">
        <v>17</v>
      </c>
      <c r="G49" t="str">
        <f>IF(D48&lt;10000,"Nano",IF(D48&lt;100000,"Micro",IF(D48&lt;1000000,"Macro","Mega")))</f>
        <v>Mega</v>
      </c>
      <c r="H49" t="str">
        <f t="shared" si="1"/>
        <v>High</v>
      </c>
      <c r="I49" t="s">
        <v>183</v>
      </c>
      <c r="J49">
        <v>187300</v>
      </c>
      <c r="K49" t="s">
        <v>38</v>
      </c>
      <c r="L49" t="s">
        <v>37</v>
      </c>
      <c r="M49">
        <v>8597070000000</v>
      </c>
    </row>
    <row r="50" spans="1:13" x14ac:dyDescent="0.25">
      <c r="A50">
        <v>364</v>
      </c>
      <c r="B50" t="s">
        <v>184</v>
      </c>
      <c r="C50" t="s">
        <v>185</v>
      </c>
      <c r="D50">
        <v>17500000</v>
      </c>
      <c r="E50" t="str">
        <f t="shared" si="0"/>
        <v>Good</v>
      </c>
      <c r="F50" t="s">
        <v>186</v>
      </c>
      <c r="G50" t="str">
        <f>IF(D49&lt;10000,"Nano",IF(D49&lt;100000,"Micro",IF(D49&lt;1000000,"Macro","Mega")))</f>
        <v>Mega</v>
      </c>
      <c r="H50" t="str">
        <f t="shared" si="1"/>
        <v>High</v>
      </c>
      <c r="I50" t="s">
        <v>187</v>
      </c>
      <c r="J50">
        <v>489400</v>
      </c>
      <c r="K50" t="s">
        <v>102</v>
      </c>
      <c r="L50" t="s">
        <v>13</v>
      </c>
      <c r="M50">
        <v>8564500000000</v>
      </c>
    </row>
    <row r="51" spans="1:13" x14ac:dyDescent="0.25">
      <c r="A51">
        <v>365</v>
      </c>
      <c r="B51" t="s">
        <v>188</v>
      </c>
      <c r="C51" t="s">
        <v>189</v>
      </c>
      <c r="D51">
        <v>20900000</v>
      </c>
      <c r="E51" t="str">
        <f t="shared" si="0"/>
        <v>Good</v>
      </c>
      <c r="F51" t="s">
        <v>31</v>
      </c>
      <c r="G51" t="str">
        <f>IF(D50&lt;10000,"Nano",IF(D50&lt;100000,"Micro",IF(D50&lt;1000000,"Macro","Mega")))</f>
        <v>Mega</v>
      </c>
      <c r="H51" t="str">
        <f t="shared" si="1"/>
        <v>High</v>
      </c>
      <c r="I51" t="s">
        <v>190</v>
      </c>
      <c r="J51">
        <v>412900</v>
      </c>
      <c r="K51" t="s">
        <v>109</v>
      </c>
      <c r="L51" t="s">
        <v>95</v>
      </c>
      <c r="M51">
        <v>8629610000000</v>
      </c>
    </row>
    <row r="52" spans="1:13" x14ac:dyDescent="0.25">
      <c r="A52">
        <v>366</v>
      </c>
      <c r="B52" t="s">
        <v>191</v>
      </c>
      <c r="C52" t="s">
        <v>192</v>
      </c>
      <c r="D52">
        <v>12400000</v>
      </c>
      <c r="E52" t="str">
        <f t="shared" si="0"/>
        <v>Good</v>
      </c>
      <c r="F52" t="s">
        <v>79</v>
      </c>
      <c r="G52" t="str">
        <f>IF(D51&lt;10000,"Nano",IF(D51&lt;100000,"Micro",IF(D51&lt;1000000,"Macro","Mega")))</f>
        <v>Mega</v>
      </c>
      <c r="H52" t="str">
        <f t="shared" si="1"/>
        <v>High</v>
      </c>
      <c r="I52" t="s">
        <v>193</v>
      </c>
      <c r="J52">
        <v>681200</v>
      </c>
      <c r="K52" t="s">
        <v>13</v>
      </c>
      <c r="L52" t="s">
        <v>109</v>
      </c>
      <c r="M52">
        <v>8446880000000</v>
      </c>
    </row>
    <row r="53" spans="1:13" x14ac:dyDescent="0.25">
      <c r="A53">
        <v>368</v>
      </c>
      <c r="B53" t="s">
        <v>194</v>
      </c>
      <c r="C53" t="s">
        <v>195</v>
      </c>
      <c r="D53">
        <v>42800000</v>
      </c>
      <c r="E53" t="str">
        <f t="shared" si="0"/>
        <v>Good</v>
      </c>
      <c r="F53" t="s">
        <v>17</v>
      </c>
      <c r="G53" t="str">
        <f>IF(D52&lt;10000,"Nano",IF(D52&lt;100000,"Micro",IF(D52&lt;1000000,"Macro","Mega")))</f>
        <v>Mega</v>
      </c>
      <c r="H53" t="str">
        <f t="shared" si="1"/>
        <v>High</v>
      </c>
      <c r="I53" t="s">
        <v>196</v>
      </c>
      <c r="J53">
        <v>192700</v>
      </c>
      <c r="K53" t="s">
        <v>109</v>
      </c>
      <c r="L53" t="s">
        <v>13</v>
      </c>
      <c r="M53">
        <v>8247560000000</v>
      </c>
    </row>
    <row r="54" spans="1:13" x14ac:dyDescent="0.25">
      <c r="A54">
        <v>369</v>
      </c>
      <c r="B54" t="s">
        <v>197</v>
      </c>
      <c r="C54" t="s">
        <v>198</v>
      </c>
      <c r="D54">
        <v>19200000</v>
      </c>
      <c r="E54" t="str">
        <f t="shared" si="0"/>
        <v>Good</v>
      </c>
      <c r="F54" t="s">
        <v>17</v>
      </c>
      <c r="G54" t="str">
        <f>IF(D53&lt;10000,"Nano",IF(D53&lt;100000,"Micro",IF(D53&lt;1000000,"Macro","Mega")))</f>
        <v>Mega</v>
      </c>
      <c r="H54" t="str">
        <f t="shared" si="1"/>
        <v>High</v>
      </c>
      <c r="I54" t="s">
        <v>199</v>
      </c>
      <c r="J54">
        <v>426200</v>
      </c>
      <c r="K54" t="s">
        <v>13</v>
      </c>
      <c r="L54" t="s">
        <v>20</v>
      </c>
      <c r="M54">
        <v>8183040000000</v>
      </c>
    </row>
    <row r="55" spans="1:13" x14ac:dyDescent="0.25">
      <c r="A55">
        <v>374</v>
      </c>
      <c r="B55" t="s">
        <v>200</v>
      </c>
      <c r="C55" t="s">
        <v>201</v>
      </c>
      <c r="D55">
        <v>35400000</v>
      </c>
      <c r="E55" t="str">
        <f t="shared" si="0"/>
        <v>Good</v>
      </c>
      <c r="F55" t="s">
        <v>17</v>
      </c>
      <c r="G55" t="str">
        <f>IF(D54&lt;10000,"Nano",IF(D54&lt;100000,"Micro",IF(D54&lt;1000000,"Macro","Mega")))</f>
        <v>Mega</v>
      </c>
      <c r="H55" t="str">
        <f t="shared" si="1"/>
        <v>High</v>
      </c>
      <c r="I55" t="s">
        <v>202</v>
      </c>
      <c r="J55">
        <v>225100</v>
      </c>
      <c r="K55" t="s">
        <v>113</v>
      </c>
      <c r="L55" t="s">
        <v>114</v>
      </c>
      <c r="M55">
        <v>7968540000000</v>
      </c>
    </row>
    <row r="56" spans="1:13" x14ac:dyDescent="0.25">
      <c r="A56">
        <v>377</v>
      </c>
      <c r="B56" t="s">
        <v>203</v>
      </c>
      <c r="C56" t="s">
        <v>204</v>
      </c>
      <c r="D56">
        <v>10700000</v>
      </c>
      <c r="E56" t="str">
        <f t="shared" si="0"/>
        <v>Good</v>
      </c>
      <c r="F56" t="s">
        <v>205</v>
      </c>
      <c r="G56" t="str">
        <f>IF(D55&lt;10000,"Nano",IF(D55&lt;100000,"Micro",IF(D55&lt;1000000,"Macro","Mega")))</f>
        <v>Mega</v>
      </c>
      <c r="H56" t="str">
        <f t="shared" si="1"/>
        <v>High</v>
      </c>
      <c r="I56" t="s">
        <v>206</v>
      </c>
      <c r="J56">
        <v>724500</v>
      </c>
      <c r="K56" t="s">
        <v>70</v>
      </c>
      <c r="L56" t="s">
        <v>33</v>
      </c>
      <c r="M56">
        <v>7752150000000</v>
      </c>
    </row>
    <row r="57" spans="1:13" x14ac:dyDescent="0.25">
      <c r="A57">
        <v>383</v>
      </c>
      <c r="B57" t="s">
        <v>207</v>
      </c>
      <c r="C57" t="s">
        <v>208</v>
      </c>
      <c r="D57">
        <v>10400000</v>
      </c>
      <c r="E57" t="str">
        <f t="shared" si="0"/>
        <v>Good</v>
      </c>
      <c r="F57" t="s">
        <v>17</v>
      </c>
      <c r="G57" t="str">
        <f>IF(D56&lt;10000,"Nano",IF(D56&lt;100000,"Micro",IF(D56&lt;1000000,"Macro","Mega")))</f>
        <v>Mega</v>
      </c>
      <c r="H57" t="str">
        <f t="shared" si="1"/>
        <v>High</v>
      </c>
      <c r="I57" t="s">
        <v>209</v>
      </c>
      <c r="J57">
        <v>740100</v>
      </c>
      <c r="K57" t="s">
        <v>50</v>
      </c>
      <c r="L57" t="s">
        <v>20</v>
      </c>
      <c r="M57">
        <v>7697040000000</v>
      </c>
    </row>
    <row r="58" spans="1:13" x14ac:dyDescent="0.25">
      <c r="A58">
        <v>398</v>
      </c>
      <c r="B58" t="s">
        <v>210</v>
      </c>
      <c r="C58" t="s">
        <v>211</v>
      </c>
      <c r="D58">
        <v>6600000</v>
      </c>
      <c r="E58" t="str">
        <f t="shared" si="0"/>
        <v>Good</v>
      </c>
      <c r="F58" t="s">
        <v>17</v>
      </c>
      <c r="G58" t="str">
        <f>IF(D57&lt;10000,"Nano",IF(D57&lt;100000,"Micro",IF(D57&lt;1000000,"Macro","Mega")))</f>
        <v>Mega</v>
      </c>
      <c r="H58" t="str">
        <f t="shared" si="1"/>
        <v>High</v>
      </c>
      <c r="I58" t="s">
        <v>212</v>
      </c>
      <c r="J58">
        <v>1100000</v>
      </c>
      <c r="K58" t="s">
        <v>13</v>
      </c>
      <c r="L58" t="s">
        <v>95</v>
      </c>
      <c r="M58">
        <v>7260000000000</v>
      </c>
    </row>
    <row r="59" spans="1:13" x14ac:dyDescent="0.25">
      <c r="A59">
        <v>399</v>
      </c>
      <c r="B59" t="s">
        <v>213</v>
      </c>
      <c r="C59" t="s">
        <v>214</v>
      </c>
      <c r="D59">
        <v>12100000</v>
      </c>
      <c r="E59" t="str">
        <f t="shared" si="0"/>
        <v>Good</v>
      </c>
      <c r="F59" t="s">
        <v>31</v>
      </c>
      <c r="G59" t="str">
        <f>IF(D58&lt;10000,"Nano",IF(D58&lt;100000,"Micro",IF(D58&lt;1000000,"Macro","Mega")))</f>
        <v>Mega</v>
      </c>
      <c r="H59" t="str">
        <f t="shared" si="1"/>
        <v>High</v>
      </c>
      <c r="I59" t="s">
        <v>215</v>
      </c>
      <c r="J59">
        <v>608100</v>
      </c>
      <c r="K59" t="s">
        <v>70</v>
      </c>
      <c r="L59" t="s">
        <v>216</v>
      </c>
      <c r="M59">
        <v>7358010000000</v>
      </c>
    </row>
    <row r="60" spans="1:13" x14ac:dyDescent="0.25">
      <c r="A60">
        <v>405</v>
      </c>
      <c r="B60" t="s">
        <v>217</v>
      </c>
      <c r="C60" t="s">
        <v>218</v>
      </c>
      <c r="D60">
        <v>19600000</v>
      </c>
      <c r="E60" t="str">
        <f t="shared" si="0"/>
        <v>Good</v>
      </c>
      <c r="F60" t="s">
        <v>219</v>
      </c>
      <c r="G60" t="str">
        <f>IF(D59&lt;10000,"Nano",IF(D59&lt;100000,"Micro",IF(D59&lt;1000000,"Macro","Mega")))</f>
        <v>Mega</v>
      </c>
      <c r="H60" t="str">
        <f t="shared" si="1"/>
        <v>High</v>
      </c>
      <c r="I60" t="s">
        <v>220</v>
      </c>
      <c r="J60">
        <v>368800</v>
      </c>
      <c r="K60" t="s">
        <v>13</v>
      </c>
      <c r="L60" t="s">
        <v>20</v>
      </c>
      <c r="M60">
        <v>7228480000000</v>
      </c>
    </row>
    <row r="61" spans="1:13" x14ac:dyDescent="0.25">
      <c r="A61">
        <v>407</v>
      </c>
      <c r="B61" t="s">
        <v>221</v>
      </c>
      <c r="C61" t="s">
        <v>222</v>
      </c>
      <c r="D61">
        <v>9100000</v>
      </c>
      <c r="E61" t="str">
        <f t="shared" si="0"/>
        <v>Good</v>
      </c>
      <c r="F61" t="s">
        <v>17</v>
      </c>
      <c r="G61" t="str">
        <f>IF(D60&lt;10000,"Nano",IF(D60&lt;100000,"Micro",IF(D60&lt;1000000,"Macro","Mega")))</f>
        <v>Mega</v>
      </c>
      <c r="H61" t="str">
        <f t="shared" si="1"/>
        <v>High</v>
      </c>
      <c r="I61" t="s">
        <v>223</v>
      </c>
      <c r="J61">
        <v>799500</v>
      </c>
      <c r="K61" t="s">
        <v>109</v>
      </c>
      <c r="L61" t="s">
        <v>13</v>
      </c>
      <c r="M61">
        <v>7275450000000</v>
      </c>
    </row>
    <row r="62" spans="1:13" x14ac:dyDescent="0.25">
      <c r="A62">
        <v>410</v>
      </c>
      <c r="B62" t="s">
        <v>224</v>
      </c>
      <c r="C62" t="s">
        <v>225</v>
      </c>
      <c r="D62">
        <v>18800000</v>
      </c>
      <c r="E62" t="str">
        <f t="shared" si="0"/>
        <v>Good</v>
      </c>
      <c r="F62" t="s">
        <v>11</v>
      </c>
      <c r="G62" t="str">
        <f>IF(D61&lt;10000,"Nano",IF(D61&lt;100000,"Micro",IF(D61&lt;1000000,"Macro","Mega")))</f>
        <v>Mega</v>
      </c>
      <c r="H62" t="str">
        <f t="shared" si="1"/>
        <v>High</v>
      </c>
      <c r="I62" t="s">
        <v>226</v>
      </c>
      <c r="J62">
        <v>378800</v>
      </c>
      <c r="K62" t="s">
        <v>38</v>
      </c>
      <c r="L62" t="s">
        <v>20</v>
      </c>
      <c r="M62">
        <v>7121440000000</v>
      </c>
    </row>
    <row r="63" spans="1:13" x14ac:dyDescent="0.25">
      <c r="A63">
        <v>417</v>
      </c>
      <c r="B63" t="s">
        <v>227</v>
      </c>
      <c r="C63" t="s">
        <v>228</v>
      </c>
      <c r="D63">
        <v>49900000</v>
      </c>
      <c r="E63" t="str">
        <f t="shared" si="0"/>
        <v>Good</v>
      </c>
      <c r="F63" t="s">
        <v>17</v>
      </c>
      <c r="G63" t="str">
        <f>IF(D62&lt;10000,"Nano",IF(D62&lt;100000,"Micro",IF(D62&lt;1000000,"Macro","Mega")))</f>
        <v>Mega</v>
      </c>
      <c r="H63" t="str">
        <f t="shared" si="1"/>
        <v>High</v>
      </c>
      <c r="I63" t="s">
        <v>229</v>
      </c>
      <c r="J63">
        <v>140000</v>
      </c>
      <c r="K63" t="s">
        <v>33</v>
      </c>
      <c r="L63" t="s">
        <v>102</v>
      </c>
      <c r="M63">
        <v>6986000000000</v>
      </c>
    </row>
    <row r="64" spans="1:13" x14ac:dyDescent="0.25">
      <c r="A64">
        <v>420</v>
      </c>
      <c r="B64" t="s">
        <v>230</v>
      </c>
      <c r="C64" t="s">
        <v>231</v>
      </c>
      <c r="D64">
        <v>9200000</v>
      </c>
      <c r="E64" t="str">
        <f t="shared" si="0"/>
        <v>Good</v>
      </c>
      <c r="F64" t="s">
        <v>17</v>
      </c>
      <c r="G64" t="str">
        <f>IF(D63&lt;10000,"Nano",IF(D63&lt;100000,"Micro",IF(D63&lt;1000000,"Macro","Mega")))</f>
        <v>Mega</v>
      </c>
      <c r="H64" t="str">
        <f t="shared" si="1"/>
        <v>High</v>
      </c>
      <c r="I64" t="s">
        <v>232</v>
      </c>
      <c r="J64">
        <v>767400</v>
      </c>
      <c r="K64" t="s">
        <v>20</v>
      </c>
      <c r="L64" t="s">
        <v>38</v>
      </c>
      <c r="M64">
        <v>7060080000000</v>
      </c>
    </row>
    <row r="65" spans="1:13" x14ac:dyDescent="0.25">
      <c r="A65">
        <v>423</v>
      </c>
      <c r="B65" t="s">
        <v>233</v>
      </c>
      <c r="C65" t="s">
        <v>234</v>
      </c>
      <c r="D65">
        <v>6600000</v>
      </c>
      <c r="E65" t="str">
        <f t="shared" si="0"/>
        <v>Good</v>
      </c>
      <c r="F65" t="s">
        <v>235</v>
      </c>
      <c r="G65" t="str">
        <f>IF(D64&lt;10000,"Nano",IF(D64&lt;100000,"Micro",IF(D64&lt;1000000,"Macro","Mega")))</f>
        <v>Mega</v>
      </c>
      <c r="H65" t="str">
        <f t="shared" si="1"/>
        <v>High</v>
      </c>
      <c r="I65" t="s">
        <v>236</v>
      </c>
      <c r="J65">
        <v>1100000</v>
      </c>
      <c r="K65" t="s">
        <v>20</v>
      </c>
      <c r="L65" t="s">
        <v>13</v>
      </c>
      <c r="M65">
        <v>7260000000000</v>
      </c>
    </row>
    <row r="66" spans="1:13" x14ac:dyDescent="0.25">
      <c r="A66">
        <v>425</v>
      </c>
      <c r="B66" t="s">
        <v>237</v>
      </c>
      <c r="C66" t="s">
        <v>238</v>
      </c>
      <c r="D66">
        <v>12900000</v>
      </c>
      <c r="E66" t="str">
        <f t="shared" ref="E66:E129" si="2">IF(H66&lt;0.01,"Fake","Good")</f>
        <v>Good</v>
      </c>
      <c r="F66" t="s">
        <v>79</v>
      </c>
      <c r="G66" t="str">
        <f>IF(D65&lt;10000,"Nano",IF(D65&lt;100000,"Micro",IF(D65&lt;1000000,"Macro","Mega")))</f>
        <v>Mega</v>
      </c>
      <c r="H66" t="str">
        <f t="shared" ref="H66:H129" si="3">IF(J66&gt;0.05,"High",IF(J66&gt;0.02,"Medium","Low"))</f>
        <v>High</v>
      </c>
      <c r="I66" t="s">
        <v>239</v>
      </c>
      <c r="J66">
        <v>534400</v>
      </c>
      <c r="K66" t="s">
        <v>13</v>
      </c>
      <c r="L66" t="s">
        <v>109</v>
      </c>
      <c r="M66">
        <v>6893760000000</v>
      </c>
    </row>
    <row r="67" spans="1:13" x14ac:dyDescent="0.25">
      <c r="A67">
        <v>426</v>
      </c>
      <c r="B67" t="s">
        <v>240</v>
      </c>
      <c r="C67" t="s">
        <v>241</v>
      </c>
      <c r="D67">
        <v>13100000</v>
      </c>
      <c r="E67" t="str">
        <f t="shared" si="2"/>
        <v>Good</v>
      </c>
      <c r="F67" t="s">
        <v>157</v>
      </c>
      <c r="G67" t="str">
        <f>IF(D66&lt;10000,"Nano",IF(D66&lt;100000,"Micro",IF(D66&lt;1000000,"Macro","Mega")))</f>
        <v>Mega</v>
      </c>
      <c r="H67" t="str">
        <f t="shared" si="3"/>
        <v>High</v>
      </c>
      <c r="I67" t="s">
        <v>242</v>
      </c>
      <c r="J67">
        <v>528800</v>
      </c>
      <c r="K67" t="s">
        <v>20</v>
      </c>
      <c r="L67" t="s">
        <v>102</v>
      </c>
      <c r="M67">
        <v>6927280000000</v>
      </c>
    </row>
    <row r="68" spans="1:13" x14ac:dyDescent="0.25">
      <c r="A68">
        <v>432</v>
      </c>
      <c r="B68" t="s">
        <v>243</v>
      </c>
      <c r="C68" t="s">
        <v>244</v>
      </c>
      <c r="D68">
        <v>34300000</v>
      </c>
      <c r="E68" t="str">
        <f t="shared" si="2"/>
        <v>Good</v>
      </c>
      <c r="F68" t="s">
        <v>17</v>
      </c>
      <c r="G68" t="str">
        <f>IF(D67&lt;10000,"Nano",IF(D67&lt;100000,"Micro",IF(D67&lt;1000000,"Macro","Mega")))</f>
        <v>Mega</v>
      </c>
      <c r="H68" t="str">
        <f t="shared" si="3"/>
        <v>High</v>
      </c>
      <c r="I68" t="s">
        <v>245</v>
      </c>
      <c r="J68">
        <v>196400</v>
      </c>
      <c r="K68" t="s">
        <v>102</v>
      </c>
      <c r="L68" t="s">
        <v>37</v>
      </c>
      <c r="M68">
        <v>6736520000000</v>
      </c>
    </row>
    <row r="69" spans="1:13" x14ac:dyDescent="0.25">
      <c r="A69">
        <v>446</v>
      </c>
      <c r="B69" t="s">
        <v>246</v>
      </c>
      <c r="C69" t="s">
        <v>247</v>
      </c>
      <c r="D69">
        <v>10100000</v>
      </c>
      <c r="E69" t="str">
        <f t="shared" si="2"/>
        <v>Good</v>
      </c>
      <c r="F69" t="s">
        <v>17</v>
      </c>
      <c r="G69" t="str">
        <f>IF(D68&lt;10000,"Nano",IF(D68&lt;100000,"Micro",IF(D68&lt;1000000,"Macro","Mega")))</f>
        <v>Mega</v>
      </c>
      <c r="H69" t="str">
        <f t="shared" si="3"/>
        <v>High</v>
      </c>
      <c r="I69" t="s">
        <v>248</v>
      </c>
      <c r="J69">
        <v>642600</v>
      </c>
      <c r="K69" t="s">
        <v>20</v>
      </c>
      <c r="L69" t="s">
        <v>109</v>
      </c>
      <c r="M69">
        <v>6490260000000</v>
      </c>
    </row>
    <row r="70" spans="1:13" x14ac:dyDescent="0.25">
      <c r="A70">
        <v>448</v>
      </c>
      <c r="B70" t="s">
        <v>249</v>
      </c>
      <c r="C70" t="s">
        <v>250</v>
      </c>
      <c r="D70">
        <v>11400000</v>
      </c>
      <c r="E70" t="str">
        <f t="shared" si="2"/>
        <v>Good</v>
      </c>
      <c r="F70" t="s">
        <v>11</v>
      </c>
      <c r="G70" t="str">
        <f>IF(D69&lt;10000,"Nano",IF(D69&lt;100000,"Micro",IF(D69&lt;1000000,"Macro","Mega")))</f>
        <v>Mega</v>
      </c>
      <c r="H70" t="str">
        <f t="shared" si="3"/>
        <v>High</v>
      </c>
      <c r="I70" t="s">
        <v>251</v>
      </c>
      <c r="J70">
        <v>567200</v>
      </c>
      <c r="K70" t="s">
        <v>109</v>
      </c>
      <c r="L70" t="s">
        <v>20</v>
      </c>
      <c r="M70">
        <v>6466080000000</v>
      </c>
    </row>
    <row r="71" spans="1:13" x14ac:dyDescent="0.25">
      <c r="A71">
        <v>452</v>
      </c>
      <c r="B71" t="s">
        <v>246</v>
      </c>
      <c r="C71" t="s">
        <v>247</v>
      </c>
      <c r="D71">
        <v>10100000</v>
      </c>
      <c r="E71" t="str">
        <f t="shared" si="2"/>
        <v>Good</v>
      </c>
      <c r="F71" t="s">
        <v>17</v>
      </c>
      <c r="G71" t="str">
        <f>IF(D70&lt;10000,"Nano",IF(D70&lt;100000,"Micro",IF(D70&lt;1000000,"Macro","Mega")))</f>
        <v>Mega</v>
      </c>
      <c r="H71" t="str">
        <f t="shared" si="3"/>
        <v>High</v>
      </c>
      <c r="I71" t="s">
        <v>248</v>
      </c>
      <c r="J71">
        <v>642600</v>
      </c>
      <c r="K71" t="s">
        <v>20</v>
      </c>
      <c r="L71" t="s">
        <v>109</v>
      </c>
      <c r="M71">
        <v>6490260000000</v>
      </c>
    </row>
    <row r="72" spans="1:13" x14ac:dyDescent="0.25">
      <c r="A72">
        <v>453</v>
      </c>
      <c r="B72" t="s">
        <v>249</v>
      </c>
      <c r="C72" t="s">
        <v>250</v>
      </c>
      <c r="D72">
        <v>11400000</v>
      </c>
      <c r="E72" t="str">
        <f t="shared" si="2"/>
        <v>Good</v>
      </c>
      <c r="F72" t="s">
        <v>11</v>
      </c>
      <c r="G72" t="str">
        <f>IF(D71&lt;10000,"Nano",IF(D71&lt;100000,"Micro",IF(D71&lt;1000000,"Macro","Mega")))</f>
        <v>Mega</v>
      </c>
      <c r="H72" t="str">
        <f t="shared" si="3"/>
        <v>High</v>
      </c>
      <c r="I72" t="s">
        <v>251</v>
      </c>
      <c r="J72">
        <v>567200</v>
      </c>
      <c r="K72" t="s">
        <v>109</v>
      </c>
      <c r="L72" t="s">
        <v>20</v>
      </c>
      <c r="M72">
        <v>6466080000000</v>
      </c>
    </row>
    <row r="73" spans="1:13" x14ac:dyDescent="0.25">
      <c r="A73">
        <v>458</v>
      </c>
      <c r="B73" t="s">
        <v>252</v>
      </c>
      <c r="C73" t="s">
        <v>253</v>
      </c>
      <c r="D73">
        <v>8600000</v>
      </c>
      <c r="E73" t="str">
        <f t="shared" si="2"/>
        <v>Good</v>
      </c>
      <c r="F73" t="s">
        <v>17</v>
      </c>
      <c r="G73" t="str">
        <f>IF(D72&lt;10000,"Nano",IF(D72&lt;100000,"Micro",IF(D72&lt;1000000,"Macro","Mega")))</f>
        <v>Mega</v>
      </c>
      <c r="H73" t="str">
        <f t="shared" si="3"/>
        <v>High</v>
      </c>
      <c r="I73" t="s">
        <v>254</v>
      </c>
      <c r="J73">
        <v>745300</v>
      </c>
      <c r="K73" t="s">
        <v>13</v>
      </c>
      <c r="L73" t="s">
        <v>20</v>
      </c>
      <c r="M73">
        <v>6409580000000</v>
      </c>
    </row>
    <row r="74" spans="1:13" x14ac:dyDescent="0.25">
      <c r="A74">
        <v>464</v>
      </c>
      <c r="B74" t="s">
        <v>255</v>
      </c>
      <c r="C74" t="s">
        <v>256</v>
      </c>
      <c r="D74">
        <v>7900000</v>
      </c>
      <c r="E74" t="str">
        <f t="shared" si="2"/>
        <v>Good</v>
      </c>
      <c r="F74" t="s">
        <v>17</v>
      </c>
      <c r="G74" t="str">
        <f>IF(D73&lt;10000,"Nano",IF(D73&lt;100000,"Micro",IF(D73&lt;1000000,"Macro","Mega")))</f>
        <v>Mega</v>
      </c>
      <c r="H74" t="str">
        <f t="shared" si="3"/>
        <v>High</v>
      </c>
      <c r="I74" t="s">
        <v>254</v>
      </c>
      <c r="J74">
        <v>800000</v>
      </c>
      <c r="K74" t="s">
        <v>50</v>
      </c>
      <c r="L74" t="s">
        <v>13</v>
      </c>
      <c r="M74">
        <v>6320000000000</v>
      </c>
    </row>
    <row r="75" spans="1:13" x14ac:dyDescent="0.25">
      <c r="A75">
        <v>470</v>
      </c>
      <c r="B75" t="s">
        <v>257</v>
      </c>
      <c r="C75" t="s">
        <v>258</v>
      </c>
      <c r="D75">
        <v>10700000</v>
      </c>
      <c r="E75" t="str">
        <f t="shared" si="2"/>
        <v>Good</v>
      </c>
      <c r="F75" t="s">
        <v>31</v>
      </c>
      <c r="G75" t="str">
        <f>IF(D74&lt;10000,"Nano",IF(D74&lt;100000,"Micro",IF(D74&lt;1000000,"Macro","Mega")))</f>
        <v>Mega</v>
      </c>
      <c r="H75" t="str">
        <f t="shared" si="3"/>
        <v>High</v>
      </c>
      <c r="I75" t="s">
        <v>259</v>
      </c>
      <c r="J75">
        <v>573900</v>
      </c>
      <c r="K75" t="s">
        <v>20</v>
      </c>
      <c r="L75" t="s">
        <v>38</v>
      </c>
      <c r="M75">
        <v>6140730000000</v>
      </c>
    </row>
    <row r="76" spans="1:13" x14ac:dyDescent="0.25">
      <c r="A76">
        <v>481</v>
      </c>
      <c r="B76" t="s">
        <v>260</v>
      </c>
      <c r="C76" t="s">
        <v>261</v>
      </c>
      <c r="D76">
        <v>14200000</v>
      </c>
      <c r="E76" t="str">
        <f t="shared" si="2"/>
        <v>Good</v>
      </c>
      <c r="F76" t="s">
        <v>11</v>
      </c>
      <c r="G76" t="str">
        <f>IF(D75&lt;10000,"Nano",IF(D75&lt;100000,"Micro",IF(D75&lt;1000000,"Macro","Mega")))</f>
        <v>Mega</v>
      </c>
      <c r="H76" t="str">
        <f t="shared" si="3"/>
        <v>High</v>
      </c>
      <c r="I76" t="s">
        <v>262</v>
      </c>
      <c r="J76">
        <v>419900</v>
      </c>
      <c r="K76" t="s">
        <v>20</v>
      </c>
      <c r="L76" t="s">
        <v>13</v>
      </c>
      <c r="M76">
        <v>5962580000000</v>
      </c>
    </row>
    <row r="77" spans="1:13" x14ac:dyDescent="0.25">
      <c r="A77">
        <v>494</v>
      </c>
      <c r="B77" t="s">
        <v>263</v>
      </c>
      <c r="C77" t="s">
        <v>264</v>
      </c>
      <c r="D77">
        <v>12800000</v>
      </c>
      <c r="E77" t="str">
        <f t="shared" si="2"/>
        <v>Good</v>
      </c>
      <c r="F77" t="s">
        <v>79</v>
      </c>
      <c r="G77" t="str">
        <f>IF(D76&lt;10000,"Nano",IF(D76&lt;100000,"Micro",IF(D76&lt;1000000,"Macro","Mega")))</f>
        <v>Mega</v>
      </c>
      <c r="H77" t="str">
        <f t="shared" si="3"/>
        <v>High</v>
      </c>
      <c r="I77" t="s">
        <v>265</v>
      </c>
      <c r="J77">
        <v>449900</v>
      </c>
      <c r="K77" t="s">
        <v>109</v>
      </c>
      <c r="L77" t="s">
        <v>95</v>
      </c>
      <c r="M77">
        <v>5758720000000</v>
      </c>
    </row>
    <row r="78" spans="1:13" x14ac:dyDescent="0.25">
      <c r="A78">
        <v>497</v>
      </c>
      <c r="B78" t="s">
        <v>266</v>
      </c>
      <c r="C78" t="s">
        <v>267</v>
      </c>
      <c r="D78">
        <v>14100000</v>
      </c>
      <c r="E78" t="str">
        <f t="shared" si="2"/>
        <v>Good</v>
      </c>
      <c r="F78" t="s">
        <v>17</v>
      </c>
      <c r="G78" t="str">
        <f>IF(D77&lt;10000,"Nano",IF(D77&lt;100000,"Micro",IF(D77&lt;1000000,"Macro","Mega")))</f>
        <v>Mega</v>
      </c>
      <c r="H78" t="str">
        <f t="shared" si="3"/>
        <v>High</v>
      </c>
      <c r="I78" t="s">
        <v>268</v>
      </c>
      <c r="J78">
        <v>405700</v>
      </c>
      <c r="K78" t="s">
        <v>109</v>
      </c>
      <c r="L78" t="s">
        <v>20</v>
      </c>
      <c r="M78">
        <v>5720370000000</v>
      </c>
    </row>
    <row r="79" spans="1:13" x14ac:dyDescent="0.25">
      <c r="A79">
        <v>499</v>
      </c>
      <c r="B79" t="s">
        <v>269</v>
      </c>
      <c r="C79" t="s">
        <v>270</v>
      </c>
      <c r="D79">
        <v>17400000</v>
      </c>
      <c r="E79" t="str">
        <f t="shared" si="2"/>
        <v>Good</v>
      </c>
      <c r="F79" t="s">
        <v>186</v>
      </c>
      <c r="G79" t="str">
        <f>IF(D78&lt;10000,"Nano",IF(D78&lt;100000,"Micro",IF(D78&lt;1000000,"Macro","Mega")))</f>
        <v>Mega</v>
      </c>
      <c r="H79" t="str">
        <f t="shared" si="3"/>
        <v>High</v>
      </c>
      <c r="I79" t="s">
        <v>271</v>
      </c>
      <c r="J79">
        <v>326200</v>
      </c>
      <c r="K79" t="s">
        <v>102</v>
      </c>
      <c r="L79" t="s">
        <v>13</v>
      </c>
      <c r="M79">
        <v>5675880000000</v>
      </c>
    </row>
    <row r="80" spans="1:13" x14ac:dyDescent="0.25">
      <c r="A80">
        <v>501</v>
      </c>
      <c r="B80" t="s">
        <v>272</v>
      </c>
      <c r="C80" t="s">
        <v>273</v>
      </c>
      <c r="D80">
        <v>19700000</v>
      </c>
      <c r="E80" t="str">
        <f t="shared" si="2"/>
        <v>Good</v>
      </c>
      <c r="F80" t="s">
        <v>31</v>
      </c>
      <c r="G80" t="str">
        <f>IF(D79&lt;10000,"Nano",IF(D79&lt;100000,"Micro",IF(D79&lt;1000000,"Macro","Mega")))</f>
        <v>Mega</v>
      </c>
      <c r="H80" t="str">
        <f t="shared" si="3"/>
        <v>High</v>
      </c>
      <c r="I80" t="s">
        <v>274</v>
      </c>
      <c r="J80">
        <v>289500</v>
      </c>
      <c r="K80" t="s">
        <v>109</v>
      </c>
      <c r="L80" t="s">
        <v>95</v>
      </c>
      <c r="M80">
        <v>5703150000000</v>
      </c>
    </row>
    <row r="81" spans="1:13" x14ac:dyDescent="0.25">
      <c r="A81">
        <v>503</v>
      </c>
      <c r="B81" t="s">
        <v>275</v>
      </c>
      <c r="C81" t="s">
        <v>276</v>
      </c>
      <c r="D81">
        <v>6400000</v>
      </c>
      <c r="E81" t="str">
        <f t="shared" si="2"/>
        <v>Good</v>
      </c>
      <c r="F81" t="s">
        <v>11</v>
      </c>
      <c r="G81" t="str">
        <f>IF(D80&lt;10000,"Nano",IF(D80&lt;100000,"Micro",IF(D80&lt;1000000,"Macro","Mega")))</f>
        <v>Mega</v>
      </c>
      <c r="H81" t="str">
        <f t="shared" si="3"/>
        <v>High</v>
      </c>
      <c r="I81" t="s">
        <v>277</v>
      </c>
      <c r="J81">
        <v>892300</v>
      </c>
      <c r="K81" t="s">
        <v>20</v>
      </c>
      <c r="L81" t="s">
        <v>13</v>
      </c>
      <c r="M81">
        <v>5710720000000</v>
      </c>
    </row>
    <row r="82" spans="1:13" x14ac:dyDescent="0.25">
      <c r="A82">
        <v>510</v>
      </c>
      <c r="B82" t="s">
        <v>278</v>
      </c>
      <c r="C82" t="s">
        <v>279</v>
      </c>
      <c r="D82">
        <v>11900000</v>
      </c>
      <c r="E82" t="str">
        <f t="shared" si="2"/>
        <v>Good</v>
      </c>
      <c r="F82" t="s">
        <v>11</v>
      </c>
      <c r="G82" t="str">
        <f>IF(D81&lt;10000,"Nano",IF(D81&lt;100000,"Micro",IF(D81&lt;1000000,"Macro","Mega")))</f>
        <v>Mega</v>
      </c>
      <c r="H82" t="str">
        <f t="shared" si="3"/>
        <v>High</v>
      </c>
      <c r="I82" t="s">
        <v>280</v>
      </c>
      <c r="J82">
        <v>464800</v>
      </c>
      <c r="K82" t="s">
        <v>20</v>
      </c>
      <c r="L82" t="s">
        <v>13</v>
      </c>
      <c r="M82">
        <v>5531120000000</v>
      </c>
    </row>
    <row r="83" spans="1:13" x14ac:dyDescent="0.25">
      <c r="A83">
        <v>513</v>
      </c>
      <c r="B83" t="s">
        <v>281</v>
      </c>
      <c r="C83" t="s">
        <v>281</v>
      </c>
      <c r="D83">
        <v>7800000</v>
      </c>
      <c r="E83" t="str">
        <f t="shared" si="2"/>
        <v>Good</v>
      </c>
      <c r="F83" t="s">
        <v>17</v>
      </c>
      <c r="G83" t="str">
        <f>IF(D82&lt;10000,"Nano",IF(D82&lt;100000,"Micro",IF(D82&lt;1000000,"Macro","Mega")))</f>
        <v>Mega</v>
      </c>
      <c r="H83" t="str">
        <f t="shared" si="3"/>
        <v>High</v>
      </c>
      <c r="I83" t="s">
        <v>282</v>
      </c>
      <c r="J83">
        <v>700800</v>
      </c>
      <c r="K83" t="s">
        <v>25</v>
      </c>
      <c r="L83" t="s">
        <v>13</v>
      </c>
      <c r="M83">
        <v>5466240000000</v>
      </c>
    </row>
    <row r="84" spans="1:13" x14ac:dyDescent="0.25">
      <c r="A84">
        <v>522</v>
      </c>
      <c r="B84" t="s">
        <v>283</v>
      </c>
      <c r="C84" t="s">
        <v>284</v>
      </c>
      <c r="D84">
        <v>23100000</v>
      </c>
      <c r="E84" t="str">
        <f t="shared" si="2"/>
        <v>Good</v>
      </c>
      <c r="F84" t="s">
        <v>17</v>
      </c>
      <c r="G84" t="str">
        <f>IF(D83&lt;10000,"Nano",IF(D83&lt;100000,"Micro",IF(D83&lt;1000000,"Macro","Mega")))</f>
        <v>Mega</v>
      </c>
      <c r="H84" t="str">
        <f t="shared" si="3"/>
        <v>High</v>
      </c>
      <c r="I84" t="s">
        <v>285</v>
      </c>
      <c r="J84">
        <v>227200</v>
      </c>
      <c r="K84" t="s">
        <v>13</v>
      </c>
      <c r="L84" t="s">
        <v>109</v>
      </c>
      <c r="M84">
        <v>5248320000000</v>
      </c>
    </row>
    <row r="85" spans="1:13" x14ac:dyDescent="0.25">
      <c r="A85">
        <v>523</v>
      </c>
      <c r="B85" t="s">
        <v>286</v>
      </c>
      <c r="C85" t="s">
        <v>287</v>
      </c>
      <c r="D85">
        <v>15000000</v>
      </c>
      <c r="E85" t="str">
        <f t="shared" si="2"/>
        <v>Good</v>
      </c>
      <c r="F85" t="s">
        <v>31</v>
      </c>
      <c r="G85" t="str">
        <f>IF(D84&lt;10000,"Nano",IF(D84&lt;100000,"Micro",IF(D84&lt;1000000,"Macro","Mega")))</f>
        <v>Mega</v>
      </c>
      <c r="H85" t="str">
        <f t="shared" si="3"/>
        <v>High</v>
      </c>
      <c r="I85" t="s">
        <v>288</v>
      </c>
      <c r="J85">
        <v>351300</v>
      </c>
      <c r="K85" t="s">
        <v>102</v>
      </c>
      <c r="L85" t="s">
        <v>20</v>
      </c>
      <c r="M85">
        <v>5269500000000</v>
      </c>
    </row>
    <row r="86" spans="1:13" x14ac:dyDescent="0.25">
      <c r="A86">
        <v>524</v>
      </c>
      <c r="B86" t="s">
        <v>289</v>
      </c>
      <c r="C86" t="s">
        <v>290</v>
      </c>
      <c r="D86">
        <v>8500000</v>
      </c>
      <c r="E86" t="str">
        <f t="shared" si="2"/>
        <v>Good</v>
      </c>
      <c r="F86" t="s">
        <v>17</v>
      </c>
      <c r="G86" t="str">
        <f>IF(D85&lt;10000,"Nano",IF(D85&lt;100000,"Micro",IF(D85&lt;1000000,"Macro","Mega")))</f>
        <v>Mega</v>
      </c>
      <c r="H86" t="str">
        <f t="shared" si="3"/>
        <v>High</v>
      </c>
      <c r="I86" t="s">
        <v>291</v>
      </c>
      <c r="J86">
        <v>640500</v>
      </c>
      <c r="K86" t="s">
        <v>33</v>
      </c>
      <c r="L86" t="s">
        <v>50</v>
      </c>
      <c r="M86">
        <v>5444250000000</v>
      </c>
    </row>
    <row r="87" spans="1:13" x14ac:dyDescent="0.25">
      <c r="A87">
        <v>529</v>
      </c>
      <c r="B87" t="s">
        <v>292</v>
      </c>
      <c r="C87" t="s">
        <v>293</v>
      </c>
      <c r="D87">
        <v>13400000</v>
      </c>
      <c r="E87" t="str">
        <f t="shared" si="2"/>
        <v>Good</v>
      </c>
      <c r="F87" t="s">
        <v>17</v>
      </c>
      <c r="G87" t="str">
        <f>IF(D86&lt;10000,"Nano",IF(D86&lt;100000,"Micro",IF(D86&lt;1000000,"Macro","Mega")))</f>
        <v>Mega</v>
      </c>
      <c r="H87" t="str">
        <f t="shared" si="3"/>
        <v>High</v>
      </c>
      <c r="I87" t="s">
        <v>294</v>
      </c>
      <c r="J87">
        <v>388800</v>
      </c>
      <c r="K87" t="s">
        <v>38</v>
      </c>
      <c r="L87" t="s">
        <v>20</v>
      </c>
      <c r="M87">
        <v>5209920000000</v>
      </c>
    </row>
    <row r="88" spans="1:13" x14ac:dyDescent="0.25">
      <c r="A88">
        <v>547</v>
      </c>
      <c r="B88" t="s">
        <v>295</v>
      </c>
      <c r="C88" t="s">
        <v>296</v>
      </c>
      <c r="D88">
        <v>7100000</v>
      </c>
      <c r="E88" t="str">
        <f t="shared" si="2"/>
        <v>Good</v>
      </c>
      <c r="F88" t="s">
        <v>17</v>
      </c>
      <c r="G88" t="str">
        <f>IF(D87&lt;10000,"Nano",IF(D87&lt;100000,"Micro",IF(D87&lt;1000000,"Macro","Mega")))</f>
        <v>Mega</v>
      </c>
      <c r="H88" t="str">
        <f t="shared" si="3"/>
        <v>High</v>
      </c>
      <c r="I88" t="s">
        <v>297</v>
      </c>
      <c r="J88">
        <v>693900</v>
      </c>
      <c r="K88" t="s">
        <v>37</v>
      </c>
      <c r="L88" t="s">
        <v>20</v>
      </c>
      <c r="M88">
        <v>4926690000000</v>
      </c>
    </row>
    <row r="89" spans="1:13" x14ac:dyDescent="0.25">
      <c r="A89">
        <v>554</v>
      </c>
      <c r="B89" t="s">
        <v>298</v>
      </c>
      <c r="C89" t="s">
        <v>299</v>
      </c>
      <c r="D89">
        <v>4400000</v>
      </c>
      <c r="E89" t="str">
        <f t="shared" si="2"/>
        <v>Good</v>
      </c>
      <c r="F89" t="s">
        <v>11</v>
      </c>
      <c r="G89" t="str">
        <f>IF(D88&lt;10000,"Nano",IF(D88&lt;100000,"Micro",IF(D88&lt;1000000,"Macro","Mega")))</f>
        <v>Mega</v>
      </c>
      <c r="H89" t="str">
        <f t="shared" si="3"/>
        <v>High</v>
      </c>
      <c r="I89" t="s">
        <v>300</v>
      </c>
      <c r="J89">
        <v>1100000</v>
      </c>
      <c r="K89" t="s">
        <v>102</v>
      </c>
      <c r="L89" t="s">
        <v>13</v>
      </c>
      <c r="M89">
        <v>4840000000000</v>
      </c>
    </row>
    <row r="90" spans="1:13" x14ac:dyDescent="0.25">
      <c r="A90">
        <v>558</v>
      </c>
      <c r="B90" t="s">
        <v>301</v>
      </c>
      <c r="C90" t="s">
        <v>302</v>
      </c>
      <c r="D90">
        <v>25500000</v>
      </c>
      <c r="E90" t="str">
        <f t="shared" si="2"/>
        <v>Good</v>
      </c>
      <c r="F90" t="s">
        <v>17</v>
      </c>
      <c r="G90" t="str">
        <f>IF(D89&lt;10000,"Nano",IF(D89&lt;100000,"Micro",IF(D89&lt;1000000,"Macro","Mega")))</f>
        <v>Mega</v>
      </c>
      <c r="H90" t="str">
        <f t="shared" si="3"/>
        <v>High</v>
      </c>
      <c r="I90" t="s">
        <v>303</v>
      </c>
      <c r="J90">
        <v>183000</v>
      </c>
      <c r="K90" t="s">
        <v>20</v>
      </c>
      <c r="L90" t="s">
        <v>38</v>
      </c>
      <c r="M90">
        <v>4666500000000</v>
      </c>
    </row>
    <row r="91" spans="1:13" x14ac:dyDescent="0.25">
      <c r="A91">
        <v>564</v>
      </c>
      <c r="B91" t="s">
        <v>304</v>
      </c>
      <c r="C91" t="s">
        <v>305</v>
      </c>
      <c r="D91">
        <v>8400000</v>
      </c>
      <c r="E91" t="str">
        <f t="shared" si="2"/>
        <v>Good</v>
      </c>
      <c r="F91" t="s">
        <v>17</v>
      </c>
      <c r="G91" t="str">
        <f>IF(D90&lt;10000,"Nano",IF(D90&lt;100000,"Micro",IF(D90&lt;1000000,"Macro","Mega")))</f>
        <v>Mega</v>
      </c>
      <c r="H91" t="str">
        <f t="shared" si="3"/>
        <v>High</v>
      </c>
      <c r="I91" t="s">
        <v>306</v>
      </c>
      <c r="J91">
        <v>554100</v>
      </c>
      <c r="K91" t="s">
        <v>102</v>
      </c>
      <c r="L91" t="s">
        <v>13</v>
      </c>
      <c r="M91">
        <v>4654440000000</v>
      </c>
    </row>
    <row r="92" spans="1:13" x14ac:dyDescent="0.25">
      <c r="A92">
        <v>565</v>
      </c>
      <c r="B92" t="s">
        <v>307</v>
      </c>
      <c r="C92" t="s">
        <v>308</v>
      </c>
      <c r="D92">
        <v>11500000</v>
      </c>
      <c r="E92" t="str">
        <f t="shared" si="2"/>
        <v>Good</v>
      </c>
      <c r="F92" t="s">
        <v>11</v>
      </c>
      <c r="G92" t="str">
        <f>IF(D91&lt;10000,"Nano",IF(D91&lt;100000,"Micro",IF(D91&lt;1000000,"Macro","Mega")))</f>
        <v>Mega</v>
      </c>
      <c r="H92" t="str">
        <f t="shared" si="3"/>
        <v>High</v>
      </c>
      <c r="I92" t="s">
        <v>309</v>
      </c>
      <c r="J92">
        <v>398600</v>
      </c>
      <c r="K92" t="s">
        <v>20</v>
      </c>
      <c r="L92" t="s">
        <v>95</v>
      </c>
      <c r="M92">
        <v>4583900000000</v>
      </c>
    </row>
    <row r="93" spans="1:13" x14ac:dyDescent="0.25">
      <c r="A93">
        <v>566</v>
      </c>
      <c r="B93" t="s">
        <v>310</v>
      </c>
      <c r="C93" t="s">
        <v>311</v>
      </c>
      <c r="D93">
        <v>20000000</v>
      </c>
      <c r="E93" t="str">
        <f t="shared" si="2"/>
        <v>Good</v>
      </c>
      <c r="F93" t="s">
        <v>31</v>
      </c>
      <c r="G93" t="str">
        <f>IF(D92&lt;10000,"Nano",IF(D92&lt;100000,"Micro",IF(D92&lt;1000000,"Macro","Mega")))</f>
        <v>Mega</v>
      </c>
      <c r="H93" t="str">
        <f t="shared" si="3"/>
        <v>High</v>
      </c>
      <c r="I93" t="s">
        <v>312</v>
      </c>
      <c r="J93">
        <v>231200</v>
      </c>
      <c r="K93" t="s">
        <v>33</v>
      </c>
      <c r="L93" t="s">
        <v>50</v>
      </c>
      <c r="M93">
        <v>4624000000000</v>
      </c>
    </row>
    <row r="94" spans="1:13" x14ac:dyDescent="0.25">
      <c r="A94">
        <v>569</v>
      </c>
      <c r="B94" t="s">
        <v>313</v>
      </c>
      <c r="C94" t="s">
        <v>314</v>
      </c>
      <c r="D94">
        <v>6300000</v>
      </c>
      <c r="E94" t="str">
        <f t="shared" si="2"/>
        <v>Good</v>
      </c>
      <c r="F94" t="s">
        <v>79</v>
      </c>
      <c r="G94" t="str">
        <f>IF(D93&lt;10000,"Nano",IF(D93&lt;100000,"Micro",IF(D93&lt;1000000,"Macro","Mega")))</f>
        <v>Mega</v>
      </c>
      <c r="H94" t="str">
        <f t="shared" si="3"/>
        <v>High</v>
      </c>
      <c r="I94" t="s">
        <v>315</v>
      </c>
      <c r="J94">
        <v>732300</v>
      </c>
      <c r="K94" t="s">
        <v>102</v>
      </c>
      <c r="L94" t="s">
        <v>20</v>
      </c>
      <c r="M94">
        <v>4613490000000</v>
      </c>
    </row>
    <row r="95" spans="1:13" x14ac:dyDescent="0.25">
      <c r="A95">
        <v>570</v>
      </c>
      <c r="B95" t="s">
        <v>316</v>
      </c>
      <c r="C95" t="s">
        <v>317</v>
      </c>
      <c r="D95">
        <v>8300000</v>
      </c>
      <c r="E95" t="str">
        <f t="shared" si="2"/>
        <v>Good</v>
      </c>
      <c r="F95" t="s">
        <v>17</v>
      </c>
      <c r="G95" t="str">
        <f>IF(D94&lt;10000,"Nano",IF(D94&lt;100000,"Micro",IF(D94&lt;1000000,"Macro","Mega")))</f>
        <v>Mega</v>
      </c>
      <c r="H95" t="str">
        <f t="shared" si="3"/>
        <v>High</v>
      </c>
      <c r="I95" t="s">
        <v>318</v>
      </c>
      <c r="J95">
        <v>549900</v>
      </c>
      <c r="K95" t="s">
        <v>102</v>
      </c>
      <c r="L95" t="s">
        <v>20</v>
      </c>
      <c r="M95">
        <v>4564170000000</v>
      </c>
    </row>
    <row r="96" spans="1:13" x14ac:dyDescent="0.25">
      <c r="A96">
        <v>576</v>
      </c>
      <c r="B96" t="s">
        <v>319</v>
      </c>
      <c r="C96" t="s">
        <v>320</v>
      </c>
      <c r="D96">
        <v>20300000</v>
      </c>
      <c r="E96" t="str">
        <f t="shared" si="2"/>
        <v>Good</v>
      </c>
      <c r="F96" t="s">
        <v>31</v>
      </c>
      <c r="G96" t="str">
        <f>IF(D95&lt;10000,"Nano",IF(D95&lt;100000,"Micro",IF(D95&lt;1000000,"Macro","Mega")))</f>
        <v>Mega</v>
      </c>
      <c r="H96" t="str">
        <f t="shared" si="3"/>
        <v>High</v>
      </c>
      <c r="I96" t="s">
        <v>321</v>
      </c>
      <c r="J96">
        <v>218700</v>
      </c>
      <c r="K96" t="s">
        <v>70</v>
      </c>
      <c r="L96" t="s">
        <v>50</v>
      </c>
      <c r="M96">
        <v>4439610000000</v>
      </c>
    </row>
    <row r="97" spans="1:13" x14ac:dyDescent="0.25">
      <c r="A97">
        <v>579</v>
      </c>
      <c r="B97" t="s">
        <v>322</v>
      </c>
      <c r="C97" t="s">
        <v>323</v>
      </c>
      <c r="D97">
        <v>31800000</v>
      </c>
      <c r="E97" t="str">
        <f t="shared" si="2"/>
        <v>Good</v>
      </c>
      <c r="F97" t="s">
        <v>17</v>
      </c>
      <c r="G97" t="str">
        <f>IF(D96&lt;10000,"Nano",IF(D96&lt;100000,"Micro",IF(D96&lt;1000000,"Macro","Mega")))</f>
        <v>Mega</v>
      </c>
      <c r="H97" t="str">
        <f t="shared" si="3"/>
        <v>High</v>
      </c>
      <c r="I97" t="s">
        <v>324</v>
      </c>
      <c r="J97">
        <v>137300</v>
      </c>
      <c r="K97" t="s">
        <v>38</v>
      </c>
      <c r="L97" t="s">
        <v>33</v>
      </c>
      <c r="M97">
        <v>4366140000000</v>
      </c>
    </row>
    <row r="98" spans="1:13" x14ac:dyDescent="0.25">
      <c r="A98">
        <v>583</v>
      </c>
      <c r="B98" t="s">
        <v>325</v>
      </c>
      <c r="C98" t="s">
        <v>326</v>
      </c>
      <c r="D98">
        <v>8800000</v>
      </c>
      <c r="E98" t="str">
        <f t="shared" si="2"/>
        <v>Good</v>
      </c>
      <c r="F98" t="s">
        <v>11</v>
      </c>
      <c r="G98" t="str">
        <f>IF(D97&lt;10000,"Nano",IF(D97&lt;100000,"Micro",IF(D97&lt;1000000,"Macro","Mega")))</f>
        <v>Mega</v>
      </c>
      <c r="H98" t="str">
        <f t="shared" si="3"/>
        <v>High</v>
      </c>
      <c r="I98" t="s">
        <v>327</v>
      </c>
      <c r="J98">
        <v>496300</v>
      </c>
      <c r="K98" t="s">
        <v>33</v>
      </c>
      <c r="L98" t="s">
        <v>13</v>
      </c>
      <c r="M98">
        <v>4367440000000</v>
      </c>
    </row>
    <row r="99" spans="1:13" x14ac:dyDescent="0.25">
      <c r="A99">
        <v>587</v>
      </c>
      <c r="B99" t="s">
        <v>328</v>
      </c>
      <c r="C99" t="s">
        <v>329</v>
      </c>
      <c r="D99">
        <v>125100000</v>
      </c>
      <c r="E99" t="str">
        <f t="shared" si="2"/>
        <v>Good</v>
      </c>
      <c r="F99" t="s">
        <v>17</v>
      </c>
      <c r="G99" t="str">
        <f>IF(D98&lt;10000,"Nano",IF(D98&lt;100000,"Micro",IF(D98&lt;1000000,"Macro","Mega")))</f>
        <v>Mega</v>
      </c>
      <c r="H99" t="str">
        <f t="shared" si="3"/>
        <v>High</v>
      </c>
      <c r="I99" t="s">
        <v>330</v>
      </c>
      <c r="J99">
        <v>34200</v>
      </c>
      <c r="K99" t="s">
        <v>33</v>
      </c>
      <c r="L99" t="s">
        <v>13</v>
      </c>
      <c r="M99">
        <v>4278420000000</v>
      </c>
    </row>
    <row r="100" spans="1:13" x14ac:dyDescent="0.25">
      <c r="A100">
        <v>602</v>
      </c>
      <c r="B100" t="s">
        <v>331</v>
      </c>
      <c r="C100" t="s">
        <v>332</v>
      </c>
      <c r="D100">
        <v>11700000</v>
      </c>
      <c r="E100" t="str">
        <f t="shared" si="2"/>
        <v>Good</v>
      </c>
      <c r="F100" t="s">
        <v>31</v>
      </c>
      <c r="G100" t="str">
        <f>IF(D99&lt;10000,"Nano",IF(D99&lt;100000,"Micro",IF(D99&lt;1000000,"Macro","Mega")))</f>
        <v>Mega</v>
      </c>
      <c r="H100" t="str">
        <f t="shared" si="3"/>
        <v>High</v>
      </c>
      <c r="I100" t="s">
        <v>333</v>
      </c>
      <c r="J100">
        <v>354200</v>
      </c>
      <c r="K100" t="s">
        <v>13</v>
      </c>
      <c r="L100" t="s">
        <v>95</v>
      </c>
      <c r="M100">
        <v>4144140000000</v>
      </c>
    </row>
    <row r="101" spans="1:13" x14ac:dyDescent="0.25">
      <c r="A101">
        <v>604</v>
      </c>
      <c r="B101" t="s">
        <v>334</v>
      </c>
      <c r="C101" t="s">
        <v>335</v>
      </c>
      <c r="D101">
        <v>12900000</v>
      </c>
      <c r="E101" t="str">
        <f t="shared" si="2"/>
        <v>Good</v>
      </c>
      <c r="F101" t="s">
        <v>79</v>
      </c>
      <c r="G101" t="str">
        <f>IF(D100&lt;10000,"Nano",IF(D100&lt;100000,"Micro",IF(D100&lt;1000000,"Macro","Mega")))</f>
        <v>Mega</v>
      </c>
      <c r="H101" t="str">
        <f t="shared" si="3"/>
        <v>High</v>
      </c>
      <c r="I101" t="s">
        <v>336</v>
      </c>
      <c r="J101">
        <v>321000</v>
      </c>
      <c r="K101" t="s">
        <v>33</v>
      </c>
      <c r="L101" t="s">
        <v>102</v>
      </c>
      <c r="M101">
        <v>4140900000000</v>
      </c>
    </row>
    <row r="102" spans="1:13" x14ac:dyDescent="0.25">
      <c r="A102">
        <v>605</v>
      </c>
      <c r="B102" t="s">
        <v>337</v>
      </c>
      <c r="C102" t="s">
        <v>338</v>
      </c>
      <c r="D102">
        <v>22900000</v>
      </c>
      <c r="E102" t="str">
        <f t="shared" si="2"/>
        <v>Good</v>
      </c>
      <c r="F102" t="s">
        <v>17</v>
      </c>
      <c r="G102" t="str">
        <f>IF(D101&lt;10000,"Nano",IF(D101&lt;100000,"Micro",IF(D101&lt;1000000,"Macro","Mega")))</f>
        <v>Mega</v>
      </c>
      <c r="H102" t="str">
        <f t="shared" si="3"/>
        <v>High</v>
      </c>
      <c r="I102" t="s">
        <v>339</v>
      </c>
      <c r="J102">
        <v>179400</v>
      </c>
      <c r="K102" t="s">
        <v>13</v>
      </c>
      <c r="L102" t="s">
        <v>109</v>
      </c>
      <c r="M102">
        <v>4108260000000</v>
      </c>
    </row>
    <row r="103" spans="1:13" x14ac:dyDescent="0.25">
      <c r="A103">
        <v>608</v>
      </c>
      <c r="B103" t="s">
        <v>340</v>
      </c>
      <c r="C103" t="s">
        <v>341</v>
      </c>
      <c r="D103">
        <v>11600000</v>
      </c>
      <c r="E103" t="str">
        <f t="shared" si="2"/>
        <v>Good</v>
      </c>
      <c r="F103" t="s">
        <v>11</v>
      </c>
      <c r="G103" t="str">
        <f>IF(D102&lt;10000,"Nano",IF(D102&lt;100000,"Micro",IF(D102&lt;1000000,"Macro","Mega")))</f>
        <v>Mega</v>
      </c>
      <c r="H103" t="str">
        <f t="shared" si="3"/>
        <v>High</v>
      </c>
      <c r="I103" t="s">
        <v>342</v>
      </c>
      <c r="J103">
        <v>351300</v>
      </c>
      <c r="K103" t="s">
        <v>20</v>
      </c>
      <c r="L103" t="s">
        <v>13</v>
      </c>
      <c r="M103">
        <v>4075080000000</v>
      </c>
    </row>
    <row r="104" spans="1:13" x14ac:dyDescent="0.25">
      <c r="A104">
        <v>621</v>
      </c>
      <c r="B104" t="s">
        <v>343</v>
      </c>
      <c r="C104" t="s">
        <v>344</v>
      </c>
      <c r="D104">
        <v>8700000</v>
      </c>
      <c r="E104" t="str">
        <f t="shared" si="2"/>
        <v>Good</v>
      </c>
      <c r="F104" t="s">
        <v>145</v>
      </c>
      <c r="G104" t="str">
        <f>IF(D103&lt;10000,"Nano",IF(D103&lt;100000,"Micro",IF(D103&lt;1000000,"Macro","Mega")))</f>
        <v>Mega</v>
      </c>
      <c r="H104" t="str">
        <f t="shared" si="3"/>
        <v>High</v>
      </c>
      <c r="I104" t="s">
        <v>345</v>
      </c>
      <c r="J104">
        <v>465000</v>
      </c>
      <c r="K104" t="s">
        <v>20</v>
      </c>
      <c r="L104" t="s">
        <v>102</v>
      </c>
      <c r="M104">
        <v>4045500000000</v>
      </c>
    </row>
    <row r="105" spans="1:13" x14ac:dyDescent="0.25">
      <c r="A105">
        <v>626</v>
      </c>
      <c r="B105" t="s">
        <v>346</v>
      </c>
      <c r="C105" t="s">
        <v>347</v>
      </c>
      <c r="D105">
        <v>32600000</v>
      </c>
      <c r="E105" t="str">
        <f t="shared" si="2"/>
        <v>Good</v>
      </c>
      <c r="F105" t="s">
        <v>31</v>
      </c>
      <c r="G105" t="str">
        <f>IF(D104&lt;10000,"Nano",IF(D104&lt;100000,"Micro",IF(D104&lt;1000000,"Macro","Mega")))</f>
        <v>Mega</v>
      </c>
      <c r="H105" t="str">
        <f t="shared" si="3"/>
        <v>High</v>
      </c>
      <c r="I105" t="s">
        <v>348</v>
      </c>
      <c r="J105">
        <v>120800</v>
      </c>
      <c r="K105" t="s">
        <v>33</v>
      </c>
      <c r="L105" t="s">
        <v>13</v>
      </c>
      <c r="M105">
        <v>3938080000000</v>
      </c>
    </row>
    <row r="106" spans="1:13" x14ac:dyDescent="0.25">
      <c r="A106">
        <v>627</v>
      </c>
      <c r="B106" t="s">
        <v>349</v>
      </c>
      <c r="C106" t="s">
        <v>350</v>
      </c>
      <c r="D106">
        <v>13800000</v>
      </c>
      <c r="E106" t="str">
        <f t="shared" si="2"/>
        <v>Good</v>
      </c>
      <c r="F106" t="s">
        <v>186</v>
      </c>
      <c r="G106" t="str">
        <f>IF(D105&lt;10000,"Nano",IF(D105&lt;100000,"Micro",IF(D105&lt;1000000,"Macro","Mega")))</f>
        <v>Mega</v>
      </c>
      <c r="H106" t="str">
        <f t="shared" si="3"/>
        <v>High</v>
      </c>
      <c r="I106" t="s">
        <v>351</v>
      </c>
      <c r="J106">
        <v>282800</v>
      </c>
      <c r="K106" t="s">
        <v>102</v>
      </c>
      <c r="L106" t="s">
        <v>109</v>
      </c>
      <c r="M106">
        <v>3902640000000</v>
      </c>
    </row>
    <row r="107" spans="1:13" x14ac:dyDescent="0.25">
      <c r="A107">
        <v>635</v>
      </c>
      <c r="B107" t="s">
        <v>352</v>
      </c>
      <c r="C107" t="s">
        <v>353</v>
      </c>
      <c r="D107">
        <v>12600000</v>
      </c>
      <c r="E107" t="str">
        <f t="shared" si="2"/>
        <v>Good</v>
      </c>
      <c r="F107" t="s">
        <v>31</v>
      </c>
      <c r="G107" t="str">
        <f>IF(D106&lt;10000,"Nano",IF(D106&lt;100000,"Micro",IF(D106&lt;1000000,"Macro","Mega")))</f>
        <v>Mega</v>
      </c>
      <c r="H107" t="str">
        <f t="shared" si="3"/>
        <v>High</v>
      </c>
      <c r="I107" t="s">
        <v>354</v>
      </c>
      <c r="J107">
        <v>304400</v>
      </c>
      <c r="K107" t="s">
        <v>13</v>
      </c>
      <c r="L107" t="s">
        <v>33</v>
      </c>
      <c r="M107">
        <v>3835440000000</v>
      </c>
    </row>
    <row r="108" spans="1:13" x14ac:dyDescent="0.25">
      <c r="A108">
        <v>636</v>
      </c>
      <c r="B108" t="s">
        <v>355</v>
      </c>
      <c r="C108" t="s">
        <v>356</v>
      </c>
      <c r="D108">
        <v>20500000</v>
      </c>
      <c r="E108" t="str">
        <f t="shared" si="2"/>
        <v>Good</v>
      </c>
      <c r="F108" t="s">
        <v>145</v>
      </c>
      <c r="G108" t="str">
        <f>IF(D107&lt;10000,"Nano",IF(D107&lt;100000,"Micro",IF(D107&lt;1000000,"Macro","Mega")))</f>
        <v>Mega</v>
      </c>
      <c r="H108" t="str">
        <f t="shared" si="3"/>
        <v>High</v>
      </c>
      <c r="I108" t="s">
        <v>357</v>
      </c>
      <c r="J108">
        <v>186700</v>
      </c>
      <c r="K108" t="s">
        <v>33</v>
      </c>
      <c r="L108" t="s">
        <v>13</v>
      </c>
      <c r="M108">
        <v>3827350000000</v>
      </c>
    </row>
    <row r="109" spans="1:13" x14ac:dyDescent="0.25">
      <c r="A109">
        <v>637</v>
      </c>
      <c r="B109" t="s">
        <v>358</v>
      </c>
      <c r="C109" t="s">
        <v>359</v>
      </c>
      <c r="D109">
        <v>7000000</v>
      </c>
      <c r="E109" t="str">
        <f t="shared" si="2"/>
        <v>Good</v>
      </c>
      <c r="F109" t="s">
        <v>79</v>
      </c>
      <c r="G109" t="str">
        <f>IF(D108&lt;10000,"Nano",IF(D108&lt;100000,"Micro",IF(D108&lt;1000000,"Macro","Mega")))</f>
        <v>Mega</v>
      </c>
      <c r="H109" t="str">
        <f t="shared" si="3"/>
        <v>High</v>
      </c>
      <c r="I109" t="s">
        <v>360</v>
      </c>
      <c r="J109">
        <v>555500</v>
      </c>
      <c r="K109" t="s">
        <v>361</v>
      </c>
      <c r="L109" t="s">
        <v>50</v>
      </c>
      <c r="M109">
        <v>3888500000000</v>
      </c>
    </row>
    <row r="110" spans="1:13" x14ac:dyDescent="0.25">
      <c r="A110">
        <v>638</v>
      </c>
      <c r="B110" t="s">
        <v>362</v>
      </c>
      <c r="C110" t="s">
        <v>363</v>
      </c>
      <c r="D110">
        <v>9900000</v>
      </c>
      <c r="E110" t="str">
        <f t="shared" si="2"/>
        <v>Good</v>
      </c>
      <c r="F110" t="s">
        <v>17</v>
      </c>
      <c r="G110" t="str">
        <f>IF(D109&lt;10000,"Nano",IF(D109&lt;100000,"Micro",IF(D109&lt;1000000,"Macro","Mega")))</f>
        <v>Mega</v>
      </c>
      <c r="H110" t="str">
        <f t="shared" si="3"/>
        <v>High</v>
      </c>
      <c r="I110" t="s">
        <v>364</v>
      </c>
      <c r="J110">
        <v>387700</v>
      </c>
      <c r="K110" t="s">
        <v>13</v>
      </c>
      <c r="L110" t="s">
        <v>20</v>
      </c>
      <c r="M110">
        <v>3838230000000</v>
      </c>
    </row>
    <row r="111" spans="1:13" x14ac:dyDescent="0.25">
      <c r="A111">
        <v>641</v>
      </c>
      <c r="B111" t="s">
        <v>365</v>
      </c>
      <c r="C111" t="s">
        <v>366</v>
      </c>
      <c r="D111">
        <v>23300000</v>
      </c>
      <c r="E111" t="str">
        <f t="shared" si="2"/>
        <v>Good</v>
      </c>
      <c r="F111" t="s">
        <v>11</v>
      </c>
      <c r="G111" t="str">
        <f>IF(D110&lt;10000,"Nano",IF(D110&lt;100000,"Micro",IF(D110&lt;1000000,"Macro","Mega")))</f>
        <v>Mega</v>
      </c>
      <c r="H111" t="str">
        <f t="shared" si="3"/>
        <v>High</v>
      </c>
      <c r="I111" t="s">
        <v>367</v>
      </c>
      <c r="J111">
        <v>162600</v>
      </c>
      <c r="K111" t="s">
        <v>13</v>
      </c>
      <c r="L111" t="s">
        <v>20</v>
      </c>
      <c r="M111">
        <v>3788580000000</v>
      </c>
    </row>
    <row r="112" spans="1:13" x14ac:dyDescent="0.25">
      <c r="A112">
        <v>646</v>
      </c>
      <c r="B112" t="s">
        <v>368</v>
      </c>
      <c r="C112" t="s">
        <v>369</v>
      </c>
      <c r="D112">
        <v>32200000</v>
      </c>
      <c r="E112" t="str">
        <f t="shared" si="2"/>
        <v>Good</v>
      </c>
      <c r="F112" t="s">
        <v>11</v>
      </c>
      <c r="G112" t="str">
        <f>IF(D111&lt;10000,"Nano",IF(D111&lt;100000,"Micro",IF(D111&lt;1000000,"Macro","Mega")))</f>
        <v>Mega</v>
      </c>
      <c r="H112" t="str">
        <f t="shared" si="3"/>
        <v>High</v>
      </c>
      <c r="I112" t="s">
        <v>370</v>
      </c>
      <c r="J112">
        <v>115600</v>
      </c>
      <c r="K112" t="s">
        <v>371</v>
      </c>
      <c r="L112" t="s">
        <v>372</v>
      </c>
      <c r="M112">
        <v>3722320000000</v>
      </c>
    </row>
    <row r="113" spans="1:13" x14ac:dyDescent="0.25">
      <c r="A113">
        <v>648</v>
      </c>
      <c r="B113" t="s">
        <v>373</v>
      </c>
      <c r="C113" t="s">
        <v>374</v>
      </c>
      <c r="D113">
        <v>20500000</v>
      </c>
      <c r="E113" t="str">
        <f t="shared" si="2"/>
        <v>Good</v>
      </c>
      <c r="F113" t="s">
        <v>17</v>
      </c>
      <c r="G113" t="str">
        <f>IF(D112&lt;10000,"Nano",IF(D112&lt;100000,"Micro",IF(D112&lt;1000000,"Macro","Mega")))</f>
        <v>Mega</v>
      </c>
      <c r="H113" t="str">
        <f t="shared" si="3"/>
        <v>High</v>
      </c>
      <c r="I113" t="s">
        <v>375</v>
      </c>
      <c r="J113">
        <v>180500</v>
      </c>
      <c r="K113" t="s">
        <v>95</v>
      </c>
      <c r="L113" t="s">
        <v>109</v>
      </c>
      <c r="M113">
        <v>3700250000000</v>
      </c>
    </row>
    <row r="114" spans="1:13" x14ac:dyDescent="0.25">
      <c r="A114">
        <v>649</v>
      </c>
      <c r="B114" t="s">
        <v>376</v>
      </c>
      <c r="C114" t="s">
        <v>377</v>
      </c>
      <c r="D114">
        <v>7400000</v>
      </c>
      <c r="E114" t="str">
        <f t="shared" si="2"/>
        <v>Good</v>
      </c>
      <c r="F114" t="s">
        <v>79</v>
      </c>
      <c r="G114" t="str">
        <f>IF(D113&lt;10000,"Nano",IF(D113&lt;100000,"Micro",IF(D113&lt;1000000,"Macro","Mega")))</f>
        <v>Mega</v>
      </c>
      <c r="H114" t="str">
        <f t="shared" si="3"/>
        <v>High</v>
      </c>
      <c r="I114" t="s">
        <v>378</v>
      </c>
      <c r="J114">
        <v>508500</v>
      </c>
      <c r="K114" t="s">
        <v>102</v>
      </c>
      <c r="L114" t="s">
        <v>20</v>
      </c>
      <c r="M114">
        <v>3762900000000</v>
      </c>
    </row>
    <row r="115" spans="1:13" x14ac:dyDescent="0.25">
      <c r="A115">
        <v>651</v>
      </c>
      <c r="B115" t="s">
        <v>379</v>
      </c>
      <c r="C115" t="s">
        <v>380</v>
      </c>
      <c r="D115">
        <v>39100000</v>
      </c>
      <c r="E115" t="str">
        <f t="shared" si="2"/>
        <v>Good</v>
      </c>
      <c r="F115" t="s">
        <v>17</v>
      </c>
      <c r="G115" t="str">
        <f>IF(D114&lt;10000,"Nano",IF(D114&lt;100000,"Micro",IF(D114&lt;1000000,"Macro","Mega")))</f>
        <v>Mega</v>
      </c>
      <c r="H115" t="str">
        <f t="shared" si="3"/>
        <v>High</v>
      </c>
      <c r="I115" t="s">
        <v>381</v>
      </c>
      <c r="J115">
        <v>94000</v>
      </c>
      <c r="K115" t="s">
        <v>33</v>
      </c>
      <c r="L115" t="s">
        <v>109</v>
      </c>
      <c r="M115">
        <v>3675400000000</v>
      </c>
    </row>
    <row r="116" spans="1:13" x14ac:dyDescent="0.25">
      <c r="A116">
        <v>654</v>
      </c>
      <c r="B116" t="s">
        <v>382</v>
      </c>
      <c r="C116" t="s">
        <v>383</v>
      </c>
      <c r="D116">
        <v>12900000</v>
      </c>
      <c r="E116" t="str">
        <f t="shared" si="2"/>
        <v>Good</v>
      </c>
      <c r="F116" t="s">
        <v>17</v>
      </c>
      <c r="G116" t="str">
        <f>IF(D115&lt;10000,"Nano",IF(D115&lt;100000,"Micro",IF(D115&lt;1000000,"Macro","Mega")))</f>
        <v>Mega</v>
      </c>
      <c r="H116" t="str">
        <f t="shared" si="3"/>
        <v>High</v>
      </c>
      <c r="I116" t="s">
        <v>384</v>
      </c>
      <c r="J116">
        <v>286000</v>
      </c>
      <c r="K116" t="s">
        <v>20</v>
      </c>
      <c r="L116" t="s">
        <v>13</v>
      </c>
      <c r="M116">
        <v>3689400000000</v>
      </c>
    </row>
    <row r="117" spans="1:13" x14ac:dyDescent="0.25">
      <c r="A117">
        <v>656</v>
      </c>
      <c r="B117" t="s">
        <v>307</v>
      </c>
      <c r="C117" t="s">
        <v>308</v>
      </c>
      <c r="D117">
        <v>11500000</v>
      </c>
      <c r="E117" t="str">
        <f t="shared" si="2"/>
        <v>Good</v>
      </c>
      <c r="F117" t="s">
        <v>11</v>
      </c>
      <c r="G117" t="str">
        <f>IF(D116&lt;10000,"Nano",IF(D116&lt;100000,"Micro",IF(D116&lt;1000000,"Macro","Mega")))</f>
        <v>Mega</v>
      </c>
      <c r="H117" t="str">
        <f t="shared" si="3"/>
        <v>High</v>
      </c>
      <c r="I117" t="s">
        <v>385</v>
      </c>
      <c r="J117">
        <v>318000</v>
      </c>
      <c r="K117" t="s">
        <v>20</v>
      </c>
      <c r="L117" t="s">
        <v>95</v>
      </c>
      <c r="M117">
        <v>3657000000000</v>
      </c>
    </row>
    <row r="118" spans="1:13" x14ac:dyDescent="0.25">
      <c r="A118">
        <v>657</v>
      </c>
      <c r="B118" t="s">
        <v>304</v>
      </c>
      <c r="C118" t="s">
        <v>305</v>
      </c>
      <c r="D118">
        <v>8400000</v>
      </c>
      <c r="E118" t="str">
        <f t="shared" si="2"/>
        <v>Good</v>
      </c>
      <c r="F118" t="s">
        <v>17</v>
      </c>
      <c r="G118" t="str">
        <f>IF(D117&lt;10000,"Nano",IF(D117&lt;100000,"Micro",IF(D117&lt;1000000,"Macro","Mega")))</f>
        <v>Mega</v>
      </c>
      <c r="H118" t="str">
        <f t="shared" si="3"/>
        <v>High</v>
      </c>
      <c r="I118" t="s">
        <v>386</v>
      </c>
      <c r="J118">
        <v>441600</v>
      </c>
      <c r="K118" t="s">
        <v>102</v>
      </c>
      <c r="L118" t="s">
        <v>13</v>
      </c>
      <c r="M118">
        <v>3709440000000</v>
      </c>
    </row>
    <row r="119" spans="1:13" x14ac:dyDescent="0.25">
      <c r="A119">
        <v>658</v>
      </c>
      <c r="B119" t="s">
        <v>387</v>
      </c>
      <c r="C119" t="s">
        <v>388</v>
      </c>
      <c r="D119">
        <v>4300000</v>
      </c>
      <c r="E119" t="str">
        <f t="shared" si="2"/>
        <v>Good</v>
      </c>
      <c r="F119" t="s">
        <v>79</v>
      </c>
      <c r="G119" t="str">
        <f>IF(D118&lt;10000,"Nano",IF(D118&lt;100000,"Micro",IF(D118&lt;1000000,"Macro","Mega")))</f>
        <v>Mega</v>
      </c>
      <c r="H119" t="str">
        <f t="shared" si="3"/>
        <v>High</v>
      </c>
      <c r="I119" t="s">
        <v>389</v>
      </c>
      <c r="J119">
        <v>873100</v>
      </c>
      <c r="K119" t="s">
        <v>20</v>
      </c>
      <c r="L119" t="s">
        <v>13</v>
      </c>
      <c r="M119">
        <v>3754330000000</v>
      </c>
    </row>
    <row r="120" spans="1:13" x14ac:dyDescent="0.25">
      <c r="A120">
        <v>661</v>
      </c>
      <c r="B120" t="s">
        <v>390</v>
      </c>
      <c r="C120" t="s">
        <v>391</v>
      </c>
      <c r="D120">
        <v>5400000</v>
      </c>
      <c r="E120" t="str">
        <f t="shared" si="2"/>
        <v>Good</v>
      </c>
      <c r="F120" t="s">
        <v>17</v>
      </c>
      <c r="G120" t="str">
        <f>IF(D119&lt;10000,"Nano",IF(D119&lt;100000,"Micro",IF(D119&lt;1000000,"Macro","Mega")))</f>
        <v>Mega</v>
      </c>
      <c r="H120" t="str">
        <f t="shared" si="3"/>
        <v>High</v>
      </c>
      <c r="I120" t="s">
        <v>392</v>
      </c>
      <c r="J120">
        <v>687000</v>
      </c>
      <c r="K120" t="s">
        <v>20</v>
      </c>
      <c r="L120" t="s">
        <v>38</v>
      </c>
      <c r="M120">
        <v>3709800000000</v>
      </c>
    </row>
    <row r="121" spans="1:13" x14ac:dyDescent="0.25">
      <c r="A121">
        <v>664</v>
      </c>
      <c r="B121" t="s">
        <v>393</v>
      </c>
      <c r="C121" t="s">
        <v>394</v>
      </c>
      <c r="D121">
        <v>9900000</v>
      </c>
      <c r="E121" t="str">
        <f t="shared" si="2"/>
        <v>Good</v>
      </c>
      <c r="F121" t="s">
        <v>31</v>
      </c>
      <c r="G121" t="str">
        <f>IF(D120&lt;10000,"Nano",IF(D120&lt;100000,"Micro",IF(D120&lt;1000000,"Macro","Mega")))</f>
        <v>Mega</v>
      </c>
      <c r="H121" t="str">
        <f t="shared" si="3"/>
        <v>High</v>
      </c>
      <c r="I121" t="s">
        <v>395</v>
      </c>
      <c r="J121">
        <v>381200</v>
      </c>
      <c r="K121" t="s">
        <v>25</v>
      </c>
      <c r="L121" t="s">
        <v>20</v>
      </c>
      <c r="M121">
        <v>3773880000000</v>
      </c>
    </row>
    <row r="122" spans="1:13" x14ac:dyDescent="0.25">
      <c r="A122">
        <v>678</v>
      </c>
      <c r="B122" t="s">
        <v>396</v>
      </c>
      <c r="C122" t="s">
        <v>397</v>
      </c>
      <c r="D122">
        <v>21500000</v>
      </c>
      <c r="E122" t="str">
        <f t="shared" si="2"/>
        <v>Good</v>
      </c>
      <c r="F122" t="s">
        <v>17</v>
      </c>
      <c r="G122" t="str">
        <f>IF(D121&lt;10000,"Nano",IF(D121&lt;100000,"Micro",IF(D121&lt;1000000,"Macro","Mega")))</f>
        <v>Mega</v>
      </c>
      <c r="H122" t="str">
        <f t="shared" si="3"/>
        <v>High</v>
      </c>
      <c r="I122" t="s">
        <v>398</v>
      </c>
      <c r="J122">
        <v>169800</v>
      </c>
      <c r="K122" t="s">
        <v>13</v>
      </c>
      <c r="L122" t="s">
        <v>33</v>
      </c>
      <c r="M122">
        <v>3650700000000</v>
      </c>
    </row>
    <row r="123" spans="1:13" x14ac:dyDescent="0.25">
      <c r="A123">
        <v>682</v>
      </c>
      <c r="B123" t="s">
        <v>399</v>
      </c>
      <c r="C123" t="s">
        <v>400</v>
      </c>
      <c r="D123">
        <v>24700000</v>
      </c>
      <c r="E123" t="str">
        <f t="shared" si="2"/>
        <v>Good</v>
      </c>
      <c r="F123" t="s">
        <v>17</v>
      </c>
      <c r="G123" t="str">
        <f>IF(D122&lt;10000,"Nano",IF(D122&lt;100000,"Micro",IF(D122&lt;1000000,"Macro","Mega")))</f>
        <v>Mega</v>
      </c>
      <c r="H123" t="str">
        <f t="shared" si="3"/>
        <v>High</v>
      </c>
      <c r="I123" t="s">
        <v>401</v>
      </c>
      <c r="J123">
        <v>144300</v>
      </c>
      <c r="K123" t="s">
        <v>25</v>
      </c>
      <c r="L123" t="s">
        <v>402</v>
      </c>
      <c r="M123">
        <v>3564210000000</v>
      </c>
    </row>
    <row r="124" spans="1:13" x14ac:dyDescent="0.25">
      <c r="A124">
        <v>683</v>
      </c>
      <c r="B124" t="s">
        <v>403</v>
      </c>
      <c r="C124" t="s">
        <v>404</v>
      </c>
      <c r="D124">
        <v>6700000</v>
      </c>
      <c r="E124" t="str">
        <f t="shared" si="2"/>
        <v>Good</v>
      </c>
      <c r="F124" t="s">
        <v>17</v>
      </c>
      <c r="G124" t="str">
        <f>IF(D123&lt;10000,"Nano",IF(D123&lt;100000,"Micro",IF(D123&lt;1000000,"Macro","Mega")))</f>
        <v>Mega</v>
      </c>
      <c r="H124" t="str">
        <f t="shared" si="3"/>
        <v>High</v>
      </c>
      <c r="I124" t="s">
        <v>405</v>
      </c>
      <c r="J124">
        <v>541000</v>
      </c>
      <c r="K124" t="s">
        <v>20</v>
      </c>
      <c r="L124" t="s">
        <v>13</v>
      </c>
      <c r="M124">
        <v>3624700000000</v>
      </c>
    </row>
    <row r="125" spans="1:13" x14ac:dyDescent="0.25">
      <c r="A125">
        <v>684</v>
      </c>
      <c r="B125" t="s">
        <v>406</v>
      </c>
      <c r="C125" t="s">
        <v>407</v>
      </c>
      <c r="D125">
        <v>6900000</v>
      </c>
      <c r="E125" t="str">
        <f t="shared" si="2"/>
        <v>Good</v>
      </c>
      <c r="F125" t="s">
        <v>11</v>
      </c>
      <c r="G125" t="str">
        <f>IF(D124&lt;10000,"Nano",IF(D124&lt;100000,"Micro",IF(D124&lt;1000000,"Macro","Mega")))</f>
        <v>Mega</v>
      </c>
      <c r="H125" t="str">
        <f t="shared" si="3"/>
        <v>High</v>
      </c>
      <c r="I125" t="s">
        <v>408</v>
      </c>
      <c r="J125">
        <v>522300</v>
      </c>
      <c r="K125" t="s">
        <v>20</v>
      </c>
      <c r="L125" t="s">
        <v>38</v>
      </c>
      <c r="M125">
        <v>3603870000000</v>
      </c>
    </row>
    <row r="126" spans="1:13" x14ac:dyDescent="0.25">
      <c r="A126">
        <v>691</v>
      </c>
      <c r="B126" t="s">
        <v>409</v>
      </c>
      <c r="C126" t="s">
        <v>410</v>
      </c>
      <c r="D126">
        <v>10900000</v>
      </c>
      <c r="E126" t="str">
        <f t="shared" si="2"/>
        <v>Good</v>
      </c>
      <c r="F126" t="s">
        <v>31</v>
      </c>
      <c r="G126" t="str">
        <f>IF(D125&lt;10000,"Nano",IF(D125&lt;100000,"Micro",IF(D125&lt;1000000,"Macro","Mega")))</f>
        <v>Mega</v>
      </c>
      <c r="H126" t="str">
        <f t="shared" si="3"/>
        <v>High</v>
      </c>
      <c r="I126" t="s">
        <v>411</v>
      </c>
      <c r="J126">
        <v>326100</v>
      </c>
      <c r="K126" t="s">
        <v>33</v>
      </c>
      <c r="L126" t="s">
        <v>13</v>
      </c>
      <c r="M126">
        <v>3554490000000</v>
      </c>
    </row>
    <row r="127" spans="1:13" x14ac:dyDescent="0.25">
      <c r="A127">
        <v>692</v>
      </c>
      <c r="B127" t="s">
        <v>412</v>
      </c>
      <c r="C127" t="s">
        <v>413</v>
      </c>
      <c r="D127">
        <v>6200000</v>
      </c>
      <c r="E127" t="str">
        <f t="shared" si="2"/>
        <v>Good</v>
      </c>
      <c r="F127" t="s">
        <v>17</v>
      </c>
      <c r="G127" t="str">
        <f>IF(D126&lt;10000,"Nano",IF(D126&lt;100000,"Micro",IF(D126&lt;1000000,"Macro","Mega")))</f>
        <v>Mega</v>
      </c>
      <c r="H127" t="str">
        <f t="shared" si="3"/>
        <v>High</v>
      </c>
      <c r="I127" t="s">
        <v>414</v>
      </c>
      <c r="J127">
        <v>575300</v>
      </c>
      <c r="K127" t="s">
        <v>20</v>
      </c>
      <c r="L127" t="s">
        <v>33</v>
      </c>
      <c r="M127">
        <v>3566860000000</v>
      </c>
    </row>
    <row r="128" spans="1:13" x14ac:dyDescent="0.25">
      <c r="A128">
        <v>693</v>
      </c>
      <c r="B128" t="s">
        <v>415</v>
      </c>
      <c r="C128" t="s">
        <v>416</v>
      </c>
      <c r="D128">
        <v>7700000</v>
      </c>
      <c r="E128" t="str">
        <f t="shared" si="2"/>
        <v>Good</v>
      </c>
      <c r="F128" t="s">
        <v>17</v>
      </c>
      <c r="G128" t="str">
        <f>IF(D127&lt;10000,"Nano",IF(D127&lt;100000,"Micro",IF(D127&lt;1000000,"Macro","Mega")))</f>
        <v>Mega</v>
      </c>
      <c r="H128" t="str">
        <f t="shared" si="3"/>
        <v>High</v>
      </c>
      <c r="I128" t="s">
        <v>417</v>
      </c>
      <c r="J128">
        <v>459900</v>
      </c>
      <c r="K128" t="s">
        <v>418</v>
      </c>
      <c r="L128" t="s">
        <v>38</v>
      </c>
      <c r="M128">
        <v>3541230000000</v>
      </c>
    </row>
    <row r="129" spans="1:13" x14ac:dyDescent="0.25">
      <c r="A129">
        <v>694</v>
      </c>
      <c r="B129" t="s">
        <v>419</v>
      </c>
      <c r="C129" t="s">
        <v>420</v>
      </c>
      <c r="D129">
        <v>8300000</v>
      </c>
      <c r="E129" t="str">
        <f t="shared" si="2"/>
        <v>Good</v>
      </c>
      <c r="F129" t="s">
        <v>48</v>
      </c>
      <c r="G129" t="str">
        <f>IF(D128&lt;10000,"Nano",IF(D128&lt;100000,"Micro",IF(D128&lt;1000000,"Macro","Mega")))</f>
        <v>Mega</v>
      </c>
      <c r="H129" t="str">
        <f t="shared" si="3"/>
        <v>High</v>
      </c>
      <c r="I129" t="s">
        <v>421</v>
      </c>
      <c r="J129">
        <v>423300</v>
      </c>
      <c r="K129" t="s">
        <v>95</v>
      </c>
      <c r="L129" t="s">
        <v>20</v>
      </c>
      <c r="M129">
        <v>3513390000000</v>
      </c>
    </row>
    <row r="130" spans="1:13" x14ac:dyDescent="0.25">
      <c r="A130">
        <v>716</v>
      </c>
      <c r="B130" t="s">
        <v>422</v>
      </c>
      <c r="C130" t="s">
        <v>423</v>
      </c>
      <c r="D130">
        <v>19900000</v>
      </c>
      <c r="E130" t="str">
        <f t="shared" ref="E130:E193" si="4">IF(H130&lt;0.01,"Fake","Good")</f>
        <v>Good</v>
      </c>
      <c r="F130" t="s">
        <v>17</v>
      </c>
      <c r="G130" t="str">
        <f>IF(D129&lt;10000,"Nano",IF(D129&lt;100000,"Micro",IF(D129&lt;1000000,"Macro","Mega")))</f>
        <v>Mega</v>
      </c>
      <c r="H130" t="str">
        <f t="shared" ref="H130:H193" si="5">IF(J130&gt;0.05,"High",IF(J130&gt;0.02,"Medium","Low"))</f>
        <v>High</v>
      </c>
      <c r="I130" t="s">
        <v>424</v>
      </c>
      <c r="J130">
        <v>170400</v>
      </c>
      <c r="K130" t="s">
        <v>109</v>
      </c>
      <c r="L130" t="s">
        <v>20</v>
      </c>
      <c r="M130">
        <v>3390960000000</v>
      </c>
    </row>
    <row r="131" spans="1:13" x14ac:dyDescent="0.25">
      <c r="A131">
        <v>718</v>
      </c>
      <c r="B131" t="s">
        <v>425</v>
      </c>
      <c r="C131" t="s">
        <v>425</v>
      </c>
      <c r="D131">
        <v>28100000</v>
      </c>
      <c r="E131" t="str">
        <f t="shared" si="4"/>
        <v>Good</v>
      </c>
      <c r="F131" t="s">
        <v>11</v>
      </c>
      <c r="G131" t="str">
        <f>IF(D130&lt;10000,"Nano",IF(D130&lt;100000,"Micro",IF(D130&lt;1000000,"Macro","Mega")))</f>
        <v>Mega</v>
      </c>
      <c r="H131" t="str">
        <f t="shared" si="5"/>
        <v>High</v>
      </c>
      <c r="I131" t="s">
        <v>426</v>
      </c>
      <c r="J131">
        <v>118800</v>
      </c>
      <c r="K131" t="s">
        <v>87</v>
      </c>
      <c r="L131" t="s">
        <v>25</v>
      </c>
      <c r="M131">
        <v>3338280000000</v>
      </c>
    </row>
    <row r="132" spans="1:13" x14ac:dyDescent="0.25">
      <c r="A132">
        <v>721</v>
      </c>
      <c r="B132" t="s">
        <v>427</v>
      </c>
      <c r="C132" t="s">
        <v>428</v>
      </c>
      <c r="D132">
        <v>7800000</v>
      </c>
      <c r="E132" t="str">
        <f t="shared" si="4"/>
        <v>Good</v>
      </c>
      <c r="F132" t="s">
        <v>31</v>
      </c>
      <c r="G132" t="str">
        <f>IF(D131&lt;10000,"Nano",IF(D131&lt;100000,"Micro",IF(D131&lt;1000000,"Macro","Mega")))</f>
        <v>Mega</v>
      </c>
      <c r="H132" t="str">
        <f t="shared" si="5"/>
        <v>High</v>
      </c>
      <c r="I132" t="s">
        <v>429</v>
      </c>
      <c r="J132">
        <v>432700</v>
      </c>
      <c r="K132" t="s">
        <v>13</v>
      </c>
      <c r="L132" t="s">
        <v>95</v>
      </c>
      <c r="M132">
        <v>3375060000000</v>
      </c>
    </row>
    <row r="133" spans="1:13" x14ac:dyDescent="0.25">
      <c r="A133">
        <v>725</v>
      </c>
      <c r="B133" t="s">
        <v>430</v>
      </c>
      <c r="C133" t="s">
        <v>431</v>
      </c>
      <c r="D133">
        <v>31200000</v>
      </c>
      <c r="E133" t="str">
        <f t="shared" si="4"/>
        <v>Good</v>
      </c>
      <c r="F133" t="s">
        <v>31</v>
      </c>
      <c r="G133" t="str">
        <f>IF(D132&lt;10000,"Nano",IF(D132&lt;100000,"Micro",IF(D132&lt;1000000,"Macro","Mega")))</f>
        <v>Mega</v>
      </c>
      <c r="H133" t="str">
        <f t="shared" si="5"/>
        <v>High</v>
      </c>
      <c r="I133" t="s">
        <v>432</v>
      </c>
      <c r="J133">
        <v>105200</v>
      </c>
      <c r="K133" t="s">
        <v>13</v>
      </c>
      <c r="L133" t="s">
        <v>33</v>
      </c>
      <c r="M133">
        <v>3282240000000</v>
      </c>
    </row>
    <row r="134" spans="1:13" x14ac:dyDescent="0.25">
      <c r="A134">
        <v>727</v>
      </c>
      <c r="B134" t="s">
        <v>433</v>
      </c>
      <c r="C134" t="s">
        <v>434</v>
      </c>
      <c r="D134">
        <v>18600000</v>
      </c>
      <c r="E134" t="str">
        <f t="shared" si="4"/>
        <v>Good</v>
      </c>
      <c r="F134" t="s">
        <v>48</v>
      </c>
      <c r="G134" t="str">
        <f>IF(D133&lt;10000,"Nano",IF(D133&lt;100000,"Micro",IF(D133&lt;1000000,"Macro","Mega")))</f>
        <v>Mega</v>
      </c>
      <c r="H134" t="str">
        <f t="shared" si="5"/>
        <v>High</v>
      </c>
      <c r="I134" t="s">
        <v>435</v>
      </c>
      <c r="J134">
        <v>175600</v>
      </c>
      <c r="K134" t="s">
        <v>13</v>
      </c>
      <c r="L134" t="s">
        <v>20</v>
      </c>
      <c r="M134">
        <v>3266160000000</v>
      </c>
    </row>
    <row r="135" spans="1:13" x14ac:dyDescent="0.25">
      <c r="A135">
        <v>728</v>
      </c>
      <c r="B135" t="s">
        <v>436</v>
      </c>
      <c r="C135" t="s">
        <v>437</v>
      </c>
      <c r="D135">
        <v>7800000</v>
      </c>
      <c r="E135" t="str">
        <f t="shared" si="4"/>
        <v>Good</v>
      </c>
      <c r="F135" t="s">
        <v>31</v>
      </c>
      <c r="G135" t="str">
        <f>IF(D134&lt;10000,"Nano",IF(D134&lt;100000,"Micro",IF(D134&lt;1000000,"Macro","Mega")))</f>
        <v>Mega</v>
      </c>
      <c r="H135" t="str">
        <f t="shared" si="5"/>
        <v>High</v>
      </c>
      <c r="I135" t="s">
        <v>438</v>
      </c>
      <c r="J135">
        <v>423000</v>
      </c>
      <c r="K135" t="s">
        <v>20</v>
      </c>
      <c r="L135" t="s">
        <v>13</v>
      </c>
      <c r="M135">
        <v>3299400000000</v>
      </c>
    </row>
    <row r="136" spans="1:13" x14ac:dyDescent="0.25">
      <c r="A136">
        <v>730</v>
      </c>
      <c r="B136" t="s">
        <v>439</v>
      </c>
      <c r="C136" t="s">
        <v>440</v>
      </c>
      <c r="D136">
        <v>9400000</v>
      </c>
      <c r="E136" t="str">
        <f t="shared" si="4"/>
        <v>Good</v>
      </c>
      <c r="F136" t="s">
        <v>48</v>
      </c>
      <c r="G136" t="str">
        <f>IF(D135&lt;10000,"Nano",IF(D135&lt;100000,"Micro",IF(D135&lt;1000000,"Macro","Mega")))</f>
        <v>Mega</v>
      </c>
      <c r="H136" t="str">
        <f t="shared" si="5"/>
        <v>High</v>
      </c>
      <c r="I136" t="s">
        <v>441</v>
      </c>
      <c r="J136">
        <v>349100</v>
      </c>
      <c r="K136" t="s">
        <v>33</v>
      </c>
      <c r="L136" t="s">
        <v>37</v>
      </c>
      <c r="M136">
        <v>3281540000000</v>
      </c>
    </row>
    <row r="137" spans="1:13" x14ac:dyDescent="0.25">
      <c r="A137">
        <v>732</v>
      </c>
      <c r="B137" t="s">
        <v>442</v>
      </c>
      <c r="C137" t="s">
        <v>443</v>
      </c>
      <c r="D137">
        <v>12400000</v>
      </c>
      <c r="E137" t="str">
        <f t="shared" si="4"/>
        <v>Good</v>
      </c>
      <c r="F137" t="s">
        <v>11</v>
      </c>
      <c r="G137" t="str">
        <f>IF(D136&lt;10000,"Nano",IF(D136&lt;100000,"Micro",IF(D136&lt;1000000,"Macro","Mega")))</f>
        <v>Mega</v>
      </c>
      <c r="H137" t="str">
        <f t="shared" si="5"/>
        <v>High</v>
      </c>
      <c r="I137" t="s">
        <v>444</v>
      </c>
      <c r="J137">
        <v>260100</v>
      </c>
      <c r="K137" t="s">
        <v>102</v>
      </c>
      <c r="L137" t="s">
        <v>13</v>
      </c>
      <c r="M137">
        <v>3225240000000</v>
      </c>
    </row>
    <row r="138" spans="1:13" x14ac:dyDescent="0.25">
      <c r="A138">
        <v>735</v>
      </c>
      <c r="B138" t="s">
        <v>445</v>
      </c>
      <c r="C138" t="s">
        <v>446</v>
      </c>
      <c r="D138">
        <v>14900000</v>
      </c>
      <c r="E138" t="str">
        <f t="shared" si="4"/>
        <v>Good</v>
      </c>
      <c r="F138" t="s">
        <v>17</v>
      </c>
      <c r="G138" t="str">
        <f>IF(D137&lt;10000,"Nano",IF(D137&lt;100000,"Micro",IF(D137&lt;1000000,"Macro","Mega")))</f>
        <v>Mega</v>
      </c>
      <c r="H138" t="str">
        <f t="shared" si="5"/>
        <v>High</v>
      </c>
      <c r="I138" t="s">
        <v>447</v>
      </c>
      <c r="J138">
        <v>215400</v>
      </c>
      <c r="K138" t="s">
        <v>109</v>
      </c>
      <c r="L138" t="s">
        <v>95</v>
      </c>
      <c r="M138">
        <v>3209460000000</v>
      </c>
    </row>
    <row r="139" spans="1:13" x14ac:dyDescent="0.25">
      <c r="A139">
        <v>739</v>
      </c>
      <c r="B139" t="s">
        <v>448</v>
      </c>
      <c r="C139" t="s">
        <v>449</v>
      </c>
      <c r="D139">
        <v>33500000</v>
      </c>
      <c r="E139" t="str">
        <f t="shared" si="4"/>
        <v>Good</v>
      </c>
      <c r="F139" t="s">
        <v>11</v>
      </c>
      <c r="G139" t="str">
        <f>IF(D138&lt;10000,"Nano",IF(D138&lt;100000,"Micro",IF(D138&lt;1000000,"Macro","Mega")))</f>
        <v>Mega</v>
      </c>
      <c r="H139" t="str">
        <f t="shared" si="5"/>
        <v>High</v>
      </c>
      <c r="I139" t="s">
        <v>450</v>
      </c>
      <c r="J139">
        <v>95300</v>
      </c>
      <c r="K139" t="s">
        <v>95</v>
      </c>
      <c r="L139" t="s">
        <v>109</v>
      </c>
      <c r="M139">
        <v>3192550000000</v>
      </c>
    </row>
    <row r="140" spans="1:13" x14ac:dyDescent="0.25">
      <c r="A140">
        <v>743</v>
      </c>
      <c r="B140" t="s">
        <v>451</v>
      </c>
      <c r="C140" t="s">
        <v>452</v>
      </c>
      <c r="D140">
        <v>13400000</v>
      </c>
      <c r="E140" t="str">
        <f t="shared" si="4"/>
        <v>Good</v>
      </c>
      <c r="F140" t="s">
        <v>17</v>
      </c>
      <c r="G140" t="str">
        <f>IF(D139&lt;10000,"Nano",IF(D139&lt;100000,"Micro",IF(D139&lt;1000000,"Macro","Mega")))</f>
        <v>Mega</v>
      </c>
      <c r="H140" t="str">
        <f t="shared" si="5"/>
        <v>High</v>
      </c>
      <c r="I140" t="s">
        <v>453</v>
      </c>
      <c r="J140">
        <v>235700</v>
      </c>
      <c r="K140" t="s">
        <v>95</v>
      </c>
      <c r="L140" t="s">
        <v>109</v>
      </c>
      <c r="M140">
        <v>3158380000000</v>
      </c>
    </row>
    <row r="141" spans="1:13" x14ac:dyDescent="0.25">
      <c r="A141">
        <v>746</v>
      </c>
      <c r="B141" t="s">
        <v>454</v>
      </c>
      <c r="C141" t="s">
        <v>455</v>
      </c>
      <c r="D141">
        <v>22600000</v>
      </c>
      <c r="E141" t="str">
        <f t="shared" si="4"/>
        <v>Good</v>
      </c>
      <c r="F141" t="s">
        <v>17</v>
      </c>
      <c r="G141" t="str">
        <f>IF(D140&lt;10000,"Nano",IF(D140&lt;100000,"Micro",IF(D140&lt;1000000,"Macro","Mega")))</f>
        <v>Mega</v>
      </c>
      <c r="H141" t="str">
        <f t="shared" si="5"/>
        <v>High</v>
      </c>
      <c r="I141" t="s">
        <v>456</v>
      </c>
      <c r="J141">
        <v>139800</v>
      </c>
      <c r="K141" t="s">
        <v>13</v>
      </c>
      <c r="L141" t="s">
        <v>14</v>
      </c>
      <c r="M141">
        <v>3159480000000</v>
      </c>
    </row>
    <row r="142" spans="1:13" x14ac:dyDescent="0.25">
      <c r="A142">
        <v>750</v>
      </c>
      <c r="B142" t="s">
        <v>457</v>
      </c>
      <c r="C142" t="s">
        <v>458</v>
      </c>
      <c r="D142">
        <v>3000000</v>
      </c>
      <c r="E142" t="str">
        <f t="shared" si="4"/>
        <v>Good</v>
      </c>
      <c r="F142" t="s">
        <v>11</v>
      </c>
      <c r="G142" t="str">
        <f>IF(D141&lt;10000,"Nano",IF(D141&lt;100000,"Micro",IF(D141&lt;1000000,"Macro","Mega")))</f>
        <v>Mega</v>
      </c>
      <c r="H142" t="str">
        <f t="shared" si="5"/>
        <v>High</v>
      </c>
      <c r="I142" t="s">
        <v>459</v>
      </c>
      <c r="J142">
        <v>1100000</v>
      </c>
      <c r="K142" t="s">
        <v>25</v>
      </c>
      <c r="L142" t="s">
        <v>13</v>
      </c>
      <c r="M142">
        <v>3300000000000</v>
      </c>
    </row>
    <row r="143" spans="1:13" x14ac:dyDescent="0.25">
      <c r="A143">
        <v>752</v>
      </c>
      <c r="B143" t="s">
        <v>460</v>
      </c>
      <c r="C143" t="s">
        <v>461</v>
      </c>
      <c r="D143">
        <v>7800000</v>
      </c>
      <c r="E143" t="str">
        <f t="shared" si="4"/>
        <v>Good</v>
      </c>
      <c r="F143" t="s">
        <v>462</v>
      </c>
      <c r="G143" t="str">
        <f>IF(D142&lt;10000,"Nano",IF(D142&lt;100000,"Micro",IF(D142&lt;1000000,"Macro","Mega")))</f>
        <v>Mega</v>
      </c>
      <c r="H143" t="str">
        <f t="shared" si="5"/>
        <v>High</v>
      </c>
      <c r="I143" t="s">
        <v>199</v>
      </c>
      <c r="J143">
        <v>403300</v>
      </c>
      <c r="K143" t="s">
        <v>20</v>
      </c>
      <c r="L143" t="s">
        <v>38</v>
      </c>
      <c r="M143">
        <v>3145740000000</v>
      </c>
    </row>
    <row r="144" spans="1:13" x14ac:dyDescent="0.25">
      <c r="A144">
        <v>753</v>
      </c>
      <c r="B144" t="s">
        <v>463</v>
      </c>
      <c r="C144" t="s">
        <v>464</v>
      </c>
      <c r="D144">
        <v>23200000</v>
      </c>
      <c r="E144" t="str">
        <f t="shared" si="4"/>
        <v>Good</v>
      </c>
      <c r="F144" t="s">
        <v>17</v>
      </c>
      <c r="G144" t="str">
        <f>IF(D143&lt;10000,"Nano",IF(D143&lt;100000,"Micro",IF(D143&lt;1000000,"Macro","Mega")))</f>
        <v>Mega</v>
      </c>
      <c r="H144" t="str">
        <f t="shared" si="5"/>
        <v>High</v>
      </c>
      <c r="I144" t="s">
        <v>465</v>
      </c>
      <c r="J144">
        <v>133300</v>
      </c>
      <c r="K144" t="s">
        <v>60</v>
      </c>
      <c r="L144" t="s">
        <v>25</v>
      </c>
      <c r="M144">
        <v>3092560000000</v>
      </c>
    </row>
    <row r="145" spans="1:13" x14ac:dyDescent="0.25">
      <c r="A145">
        <v>754</v>
      </c>
      <c r="B145" t="s">
        <v>466</v>
      </c>
      <c r="C145" t="s">
        <v>467</v>
      </c>
      <c r="D145">
        <v>6200000</v>
      </c>
      <c r="E145" t="str">
        <f t="shared" si="4"/>
        <v>Good</v>
      </c>
      <c r="F145" t="s">
        <v>205</v>
      </c>
      <c r="G145" t="str">
        <f>IF(D144&lt;10000,"Nano",IF(D144&lt;100000,"Micro",IF(D144&lt;1000000,"Macro","Mega")))</f>
        <v>Mega</v>
      </c>
      <c r="H145" t="str">
        <f t="shared" si="5"/>
        <v>High</v>
      </c>
      <c r="I145" t="s">
        <v>468</v>
      </c>
      <c r="J145">
        <v>502800</v>
      </c>
      <c r="K145" t="s">
        <v>109</v>
      </c>
      <c r="L145" t="s">
        <v>13</v>
      </c>
      <c r="M145">
        <v>3117360000000</v>
      </c>
    </row>
    <row r="146" spans="1:13" x14ac:dyDescent="0.25">
      <c r="A146">
        <v>760</v>
      </c>
      <c r="B146" t="s">
        <v>469</v>
      </c>
      <c r="C146" t="s">
        <v>470</v>
      </c>
      <c r="D146">
        <v>40300000</v>
      </c>
      <c r="E146" t="str">
        <f t="shared" si="4"/>
        <v>Good</v>
      </c>
      <c r="F146" t="s">
        <v>17</v>
      </c>
      <c r="G146" t="str">
        <f>IF(D145&lt;10000,"Nano",IF(D145&lt;100000,"Micro",IF(D145&lt;1000000,"Macro","Mega")))</f>
        <v>Mega</v>
      </c>
      <c r="H146" t="str">
        <f t="shared" si="5"/>
        <v>High</v>
      </c>
      <c r="I146" t="s">
        <v>471</v>
      </c>
      <c r="J146">
        <v>76100</v>
      </c>
      <c r="K146" t="s">
        <v>70</v>
      </c>
      <c r="L146" t="s">
        <v>95</v>
      </c>
      <c r="M146">
        <v>3066830000000</v>
      </c>
    </row>
    <row r="147" spans="1:13" x14ac:dyDescent="0.25">
      <c r="A147">
        <v>761</v>
      </c>
      <c r="B147" t="s">
        <v>472</v>
      </c>
      <c r="C147" t="s">
        <v>473</v>
      </c>
      <c r="D147">
        <v>10100000</v>
      </c>
      <c r="E147" t="str">
        <f t="shared" si="4"/>
        <v>Good</v>
      </c>
      <c r="F147" t="s">
        <v>31</v>
      </c>
      <c r="G147" t="str">
        <f>IF(D146&lt;10000,"Nano",IF(D146&lt;100000,"Micro",IF(D146&lt;1000000,"Macro","Mega")))</f>
        <v>Mega</v>
      </c>
      <c r="H147" t="str">
        <f t="shared" si="5"/>
        <v>High</v>
      </c>
      <c r="I147" t="s">
        <v>474</v>
      </c>
      <c r="J147">
        <v>302500</v>
      </c>
      <c r="K147" t="s">
        <v>109</v>
      </c>
      <c r="L147" t="s">
        <v>20</v>
      </c>
      <c r="M147">
        <v>3055250000000</v>
      </c>
    </row>
    <row r="148" spans="1:13" x14ac:dyDescent="0.25">
      <c r="A148">
        <v>772</v>
      </c>
      <c r="B148" t="s">
        <v>475</v>
      </c>
      <c r="C148" t="s">
        <v>476</v>
      </c>
      <c r="D148">
        <v>45400000</v>
      </c>
      <c r="E148" t="str">
        <f t="shared" si="4"/>
        <v>Good</v>
      </c>
      <c r="F148" t="s">
        <v>31</v>
      </c>
      <c r="G148" t="str">
        <f>IF(D147&lt;10000,"Nano",IF(D147&lt;100000,"Micro",IF(D147&lt;1000000,"Macro","Mega")))</f>
        <v>Mega</v>
      </c>
      <c r="H148" t="str">
        <f t="shared" si="5"/>
        <v>High</v>
      </c>
      <c r="I148" t="s">
        <v>477</v>
      </c>
      <c r="J148">
        <v>66100</v>
      </c>
      <c r="K148" t="s">
        <v>38</v>
      </c>
      <c r="L148" t="s">
        <v>19</v>
      </c>
      <c r="M148">
        <v>3000940000000</v>
      </c>
    </row>
    <row r="149" spans="1:13" x14ac:dyDescent="0.25">
      <c r="A149">
        <v>773</v>
      </c>
      <c r="B149" t="s">
        <v>478</v>
      </c>
      <c r="C149" t="s">
        <v>479</v>
      </c>
      <c r="D149">
        <v>10000000</v>
      </c>
      <c r="E149" t="str">
        <f t="shared" si="4"/>
        <v>Good</v>
      </c>
      <c r="F149" t="s">
        <v>31</v>
      </c>
      <c r="G149" t="str">
        <f>IF(D148&lt;10000,"Nano",IF(D148&lt;100000,"Micro",IF(D148&lt;1000000,"Macro","Mega")))</f>
        <v>Mega</v>
      </c>
      <c r="H149" t="str">
        <f t="shared" si="5"/>
        <v>High</v>
      </c>
      <c r="I149" t="s">
        <v>480</v>
      </c>
      <c r="J149">
        <v>298400</v>
      </c>
      <c r="K149" t="s">
        <v>37</v>
      </c>
      <c r="L149" t="s">
        <v>20</v>
      </c>
      <c r="M149">
        <v>2984000000000</v>
      </c>
    </row>
    <row r="150" spans="1:13" x14ac:dyDescent="0.25">
      <c r="A150">
        <v>776</v>
      </c>
      <c r="B150" t="s">
        <v>481</v>
      </c>
      <c r="C150" t="s">
        <v>482</v>
      </c>
      <c r="D150">
        <v>6000000</v>
      </c>
      <c r="E150" t="str">
        <f t="shared" si="4"/>
        <v>Good</v>
      </c>
      <c r="F150" t="s">
        <v>17</v>
      </c>
      <c r="G150" t="str">
        <f>IF(D149&lt;10000,"Nano",IF(D149&lt;100000,"Micro",IF(D149&lt;1000000,"Macro","Mega")))</f>
        <v>Mega</v>
      </c>
      <c r="H150" t="str">
        <f t="shared" si="5"/>
        <v>High</v>
      </c>
      <c r="I150" t="s">
        <v>309</v>
      </c>
      <c r="J150">
        <v>503800</v>
      </c>
      <c r="K150" t="s">
        <v>20</v>
      </c>
      <c r="L150" t="s">
        <v>13</v>
      </c>
      <c r="M150">
        <v>3022800000000</v>
      </c>
    </row>
    <row r="151" spans="1:13" x14ac:dyDescent="0.25">
      <c r="A151">
        <v>779</v>
      </c>
      <c r="B151" t="s">
        <v>483</v>
      </c>
      <c r="C151" t="s">
        <v>484</v>
      </c>
      <c r="D151">
        <v>7700000</v>
      </c>
      <c r="E151" t="str">
        <f t="shared" si="4"/>
        <v>Good</v>
      </c>
      <c r="F151" t="s">
        <v>31</v>
      </c>
      <c r="G151" t="str">
        <f>IF(D150&lt;10000,"Nano",IF(D150&lt;100000,"Micro",IF(D150&lt;1000000,"Macro","Mega")))</f>
        <v>Mega</v>
      </c>
      <c r="H151" t="str">
        <f t="shared" si="5"/>
        <v>High</v>
      </c>
      <c r="I151" t="s">
        <v>485</v>
      </c>
      <c r="J151">
        <v>392800</v>
      </c>
      <c r="K151" t="s">
        <v>20</v>
      </c>
      <c r="L151" t="s">
        <v>25</v>
      </c>
      <c r="M151">
        <v>3024560000000</v>
      </c>
    </row>
    <row r="152" spans="1:13" x14ac:dyDescent="0.25">
      <c r="A152">
        <v>782</v>
      </c>
      <c r="B152" t="s">
        <v>486</v>
      </c>
      <c r="C152" t="s">
        <v>487</v>
      </c>
      <c r="D152">
        <v>17300000</v>
      </c>
      <c r="E152" t="str">
        <f t="shared" si="4"/>
        <v>Good</v>
      </c>
      <c r="F152" t="s">
        <v>219</v>
      </c>
      <c r="G152" t="str">
        <f>IF(D151&lt;10000,"Nano",IF(D151&lt;100000,"Micro",IF(D151&lt;1000000,"Macro","Mega")))</f>
        <v>Mega</v>
      </c>
      <c r="H152" t="str">
        <f t="shared" si="5"/>
        <v>High</v>
      </c>
      <c r="I152" t="s">
        <v>488</v>
      </c>
      <c r="J152">
        <v>170000</v>
      </c>
      <c r="K152" t="s">
        <v>114</v>
      </c>
      <c r="L152" t="s">
        <v>113</v>
      </c>
      <c r="M152">
        <v>2941000000000</v>
      </c>
    </row>
    <row r="153" spans="1:13" x14ac:dyDescent="0.25">
      <c r="A153">
        <v>787</v>
      </c>
      <c r="B153" t="s">
        <v>489</v>
      </c>
      <c r="C153" t="s">
        <v>490</v>
      </c>
      <c r="D153">
        <v>19100000</v>
      </c>
      <c r="E153" t="str">
        <f t="shared" si="4"/>
        <v>Good</v>
      </c>
      <c r="F153" t="s">
        <v>123</v>
      </c>
      <c r="G153" t="str">
        <f>IF(D152&lt;10000,"Nano",IF(D152&lt;100000,"Micro",IF(D152&lt;1000000,"Macro","Mega")))</f>
        <v>Mega</v>
      </c>
      <c r="H153" t="str">
        <f t="shared" si="5"/>
        <v>High</v>
      </c>
      <c r="I153" t="s">
        <v>491</v>
      </c>
      <c r="J153">
        <v>152900</v>
      </c>
      <c r="K153" t="s">
        <v>33</v>
      </c>
      <c r="L153" t="s">
        <v>37</v>
      </c>
      <c r="M153">
        <v>2920390000000</v>
      </c>
    </row>
    <row r="154" spans="1:13" x14ac:dyDescent="0.25">
      <c r="A154">
        <v>796</v>
      </c>
      <c r="B154" t="s">
        <v>492</v>
      </c>
      <c r="C154" t="s">
        <v>493</v>
      </c>
      <c r="D154">
        <v>9800000</v>
      </c>
      <c r="E154" t="str">
        <f t="shared" si="4"/>
        <v>Good</v>
      </c>
      <c r="F154" t="s">
        <v>11</v>
      </c>
      <c r="G154" t="str">
        <f>IF(D153&lt;10000,"Nano",IF(D153&lt;100000,"Micro",IF(D153&lt;1000000,"Macro","Mega")))</f>
        <v>Mega</v>
      </c>
      <c r="H154" t="str">
        <f t="shared" si="5"/>
        <v>High</v>
      </c>
      <c r="I154" t="s">
        <v>494</v>
      </c>
      <c r="J154">
        <v>294800</v>
      </c>
      <c r="K154" t="s">
        <v>20</v>
      </c>
      <c r="L154" t="s">
        <v>38</v>
      </c>
      <c r="M154">
        <v>2889040000000</v>
      </c>
    </row>
    <row r="155" spans="1:13" x14ac:dyDescent="0.25">
      <c r="A155">
        <v>800</v>
      </c>
      <c r="B155" t="s">
        <v>495</v>
      </c>
      <c r="C155" t="s">
        <v>496</v>
      </c>
      <c r="D155">
        <v>15800000</v>
      </c>
      <c r="E155" t="str">
        <f t="shared" si="4"/>
        <v>Good</v>
      </c>
      <c r="F155" t="s">
        <v>17</v>
      </c>
      <c r="G155" t="str">
        <f>IF(D154&lt;10000,"Nano",IF(D154&lt;100000,"Micro",IF(D154&lt;1000000,"Macro","Mega")))</f>
        <v>Mega</v>
      </c>
      <c r="H155" t="str">
        <f t="shared" si="5"/>
        <v>High</v>
      </c>
      <c r="I155" t="s">
        <v>497</v>
      </c>
      <c r="J155">
        <v>180900</v>
      </c>
      <c r="K155" t="s">
        <v>24</v>
      </c>
      <c r="L155" t="s">
        <v>88</v>
      </c>
      <c r="M155">
        <v>2858220000000</v>
      </c>
    </row>
    <row r="156" spans="1:13" x14ac:dyDescent="0.25">
      <c r="A156">
        <v>803</v>
      </c>
      <c r="B156" t="s">
        <v>498</v>
      </c>
      <c r="C156" t="s">
        <v>499</v>
      </c>
      <c r="D156">
        <v>10300000</v>
      </c>
      <c r="E156" t="str">
        <f t="shared" si="4"/>
        <v>Good</v>
      </c>
      <c r="F156" t="s">
        <v>31</v>
      </c>
      <c r="G156" t="str">
        <f>IF(D155&lt;10000,"Nano",IF(D155&lt;100000,"Micro",IF(D155&lt;1000000,"Macro","Mega")))</f>
        <v>Mega</v>
      </c>
      <c r="H156" t="str">
        <f t="shared" si="5"/>
        <v>High</v>
      </c>
      <c r="I156" t="s">
        <v>500</v>
      </c>
      <c r="J156">
        <v>272900</v>
      </c>
      <c r="K156" t="s">
        <v>95</v>
      </c>
      <c r="L156" t="s">
        <v>109</v>
      </c>
      <c r="M156">
        <v>2810870000000</v>
      </c>
    </row>
    <row r="157" spans="1:13" x14ac:dyDescent="0.25">
      <c r="A157">
        <v>811</v>
      </c>
      <c r="B157" t="s">
        <v>501</v>
      </c>
      <c r="C157" t="s">
        <v>502</v>
      </c>
      <c r="D157">
        <v>34800000</v>
      </c>
      <c r="E157" t="str">
        <f t="shared" si="4"/>
        <v>Good</v>
      </c>
      <c r="F157" t="s">
        <v>31</v>
      </c>
      <c r="G157" t="str">
        <f>IF(D156&lt;10000,"Nano",IF(D156&lt;100000,"Micro",IF(D156&lt;1000000,"Macro","Mega")))</f>
        <v>Mega</v>
      </c>
      <c r="H157" t="str">
        <f t="shared" si="5"/>
        <v>High</v>
      </c>
      <c r="I157" t="s">
        <v>503</v>
      </c>
      <c r="J157">
        <v>80300</v>
      </c>
      <c r="K157" t="s">
        <v>13</v>
      </c>
      <c r="L157" t="s">
        <v>20</v>
      </c>
      <c r="M157">
        <v>2794440000000</v>
      </c>
    </row>
    <row r="158" spans="1:13" x14ac:dyDescent="0.25">
      <c r="A158">
        <v>815</v>
      </c>
      <c r="B158" t="s">
        <v>504</v>
      </c>
      <c r="C158" t="s">
        <v>505</v>
      </c>
      <c r="D158">
        <v>6600000</v>
      </c>
      <c r="E158" t="str">
        <f t="shared" si="4"/>
        <v>Good</v>
      </c>
      <c r="F158" t="s">
        <v>17</v>
      </c>
      <c r="G158" t="str">
        <f>IF(D157&lt;10000,"Nano",IF(D157&lt;100000,"Micro",IF(D157&lt;1000000,"Macro","Mega")))</f>
        <v>Mega</v>
      </c>
      <c r="H158" t="str">
        <f t="shared" si="5"/>
        <v>High</v>
      </c>
      <c r="I158" t="s">
        <v>506</v>
      </c>
      <c r="J158">
        <v>426300</v>
      </c>
      <c r="K158" t="s">
        <v>13</v>
      </c>
      <c r="L158" t="s">
        <v>50</v>
      </c>
      <c r="M158">
        <v>2813580000000</v>
      </c>
    </row>
    <row r="159" spans="1:13" x14ac:dyDescent="0.25">
      <c r="A159">
        <v>830</v>
      </c>
      <c r="B159" t="s">
        <v>507</v>
      </c>
      <c r="C159" t="s">
        <v>508</v>
      </c>
      <c r="D159">
        <v>5900000</v>
      </c>
      <c r="E159" t="str">
        <f t="shared" si="4"/>
        <v>Good</v>
      </c>
      <c r="F159" t="s">
        <v>79</v>
      </c>
      <c r="G159" t="str">
        <f>IF(D158&lt;10000,"Nano",IF(D158&lt;100000,"Micro",IF(D158&lt;1000000,"Macro","Mega")))</f>
        <v>Mega</v>
      </c>
      <c r="H159" t="str">
        <f t="shared" si="5"/>
        <v>High</v>
      </c>
      <c r="I159" t="s">
        <v>509</v>
      </c>
      <c r="J159">
        <v>463900</v>
      </c>
      <c r="K159" t="s">
        <v>33</v>
      </c>
      <c r="L159" t="s">
        <v>109</v>
      </c>
      <c r="M159">
        <v>2737010000000</v>
      </c>
    </row>
    <row r="160" spans="1:13" x14ac:dyDescent="0.25">
      <c r="A160">
        <v>833</v>
      </c>
      <c r="B160" t="s">
        <v>510</v>
      </c>
      <c r="C160" t="s">
        <v>511</v>
      </c>
      <c r="D160">
        <v>5200000</v>
      </c>
      <c r="E160" t="str">
        <f t="shared" si="4"/>
        <v>Good</v>
      </c>
      <c r="F160" t="s">
        <v>11</v>
      </c>
      <c r="G160" t="str">
        <f>IF(D159&lt;10000,"Nano",IF(D159&lt;100000,"Micro",IF(D159&lt;1000000,"Macro","Mega")))</f>
        <v>Mega</v>
      </c>
      <c r="H160" t="str">
        <f t="shared" si="5"/>
        <v>High</v>
      </c>
      <c r="I160" t="s">
        <v>512</v>
      </c>
      <c r="J160">
        <v>525000</v>
      </c>
      <c r="K160" t="s">
        <v>20</v>
      </c>
      <c r="L160" t="s">
        <v>13</v>
      </c>
      <c r="M160">
        <v>2730000000000</v>
      </c>
    </row>
    <row r="161" spans="1:13" x14ac:dyDescent="0.25">
      <c r="A161">
        <v>834</v>
      </c>
      <c r="B161" t="s">
        <v>513</v>
      </c>
      <c r="C161" t="s">
        <v>514</v>
      </c>
      <c r="D161">
        <v>13500000</v>
      </c>
      <c r="E161" t="str">
        <f t="shared" si="4"/>
        <v>Good</v>
      </c>
      <c r="F161" t="s">
        <v>186</v>
      </c>
      <c r="G161" t="str">
        <f>IF(D160&lt;10000,"Nano",IF(D160&lt;100000,"Micro",IF(D160&lt;1000000,"Macro","Mega")))</f>
        <v>Mega</v>
      </c>
      <c r="H161" t="str">
        <f t="shared" si="5"/>
        <v>High</v>
      </c>
      <c r="I161" t="s">
        <v>515</v>
      </c>
      <c r="J161">
        <v>199900</v>
      </c>
      <c r="K161" t="s">
        <v>13</v>
      </c>
      <c r="L161" t="s">
        <v>109</v>
      </c>
      <c r="M161">
        <v>2698650000000</v>
      </c>
    </row>
    <row r="162" spans="1:13" x14ac:dyDescent="0.25">
      <c r="A162">
        <v>835</v>
      </c>
      <c r="B162" t="s">
        <v>516</v>
      </c>
      <c r="C162" t="s">
        <v>517</v>
      </c>
      <c r="D162">
        <v>12400000</v>
      </c>
      <c r="E162" t="str">
        <f t="shared" si="4"/>
        <v>Good</v>
      </c>
      <c r="F162" t="s">
        <v>17</v>
      </c>
      <c r="G162" t="str">
        <f>IF(D161&lt;10000,"Nano",IF(D161&lt;100000,"Micro",IF(D161&lt;1000000,"Macro","Mega")))</f>
        <v>Mega</v>
      </c>
      <c r="H162" t="str">
        <f t="shared" si="5"/>
        <v>High</v>
      </c>
      <c r="I162" t="s">
        <v>518</v>
      </c>
      <c r="J162">
        <v>219500</v>
      </c>
      <c r="K162" t="s">
        <v>20</v>
      </c>
      <c r="L162" t="s">
        <v>109</v>
      </c>
      <c r="M162">
        <v>2721800000000</v>
      </c>
    </row>
    <row r="163" spans="1:13" x14ac:dyDescent="0.25">
      <c r="A163">
        <v>839</v>
      </c>
      <c r="B163" t="s">
        <v>519</v>
      </c>
      <c r="C163" t="s">
        <v>520</v>
      </c>
      <c r="D163">
        <v>17900000</v>
      </c>
      <c r="E163" t="str">
        <f t="shared" si="4"/>
        <v>Good</v>
      </c>
      <c r="F163" t="s">
        <v>205</v>
      </c>
      <c r="G163" t="str">
        <f>IF(D162&lt;10000,"Nano",IF(D162&lt;100000,"Micro",IF(D162&lt;1000000,"Macro","Mega")))</f>
        <v>Mega</v>
      </c>
      <c r="H163" t="str">
        <f t="shared" si="5"/>
        <v>High</v>
      </c>
      <c r="I163" t="s">
        <v>521</v>
      </c>
      <c r="J163">
        <v>149500</v>
      </c>
      <c r="K163" t="s">
        <v>38</v>
      </c>
      <c r="L163" t="s">
        <v>70</v>
      </c>
      <c r="M163">
        <v>2676050000000</v>
      </c>
    </row>
    <row r="164" spans="1:13" x14ac:dyDescent="0.25">
      <c r="A164">
        <v>844</v>
      </c>
      <c r="B164" t="s">
        <v>522</v>
      </c>
      <c r="C164" t="s">
        <v>523</v>
      </c>
      <c r="D164">
        <v>27500000</v>
      </c>
      <c r="E164" t="str">
        <f t="shared" si="4"/>
        <v>Good</v>
      </c>
      <c r="F164" t="s">
        <v>17</v>
      </c>
      <c r="G164" t="str">
        <f>IF(D163&lt;10000,"Nano",IF(D163&lt;100000,"Micro",IF(D163&lt;1000000,"Macro","Mega")))</f>
        <v>Mega</v>
      </c>
      <c r="H164" t="str">
        <f t="shared" si="5"/>
        <v>High</v>
      </c>
      <c r="I164" t="s">
        <v>432</v>
      </c>
      <c r="J164">
        <v>96900</v>
      </c>
      <c r="K164" t="s">
        <v>20</v>
      </c>
      <c r="L164" t="s">
        <v>37</v>
      </c>
      <c r="M164">
        <v>2664750000000</v>
      </c>
    </row>
    <row r="165" spans="1:13" x14ac:dyDescent="0.25">
      <c r="A165">
        <v>845</v>
      </c>
      <c r="B165" t="s">
        <v>524</v>
      </c>
      <c r="C165" t="s">
        <v>525</v>
      </c>
      <c r="D165">
        <v>23000000</v>
      </c>
      <c r="E165" t="str">
        <f t="shared" si="4"/>
        <v>Good</v>
      </c>
      <c r="F165" t="s">
        <v>17</v>
      </c>
      <c r="G165" t="str">
        <f>IF(D164&lt;10000,"Nano",IF(D164&lt;100000,"Micro",IF(D164&lt;1000000,"Macro","Mega")))</f>
        <v>Mega</v>
      </c>
      <c r="H165" t="str">
        <f t="shared" si="5"/>
        <v>High</v>
      </c>
      <c r="I165" t="s">
        <v>526</v>
      </c>
      <c r="J165">
        <v>115800</v>
      </c>
      <c r="K165" t="s">
        <v>33</v>
      </c>
      <c r="L165" t="s">
        <v>50</v>
      </c>
      <c r="M165">
        <v>2663400000000</v>
      </c>
    </row>
    <row r="166" spans="1:13" x14ac:dyDescent="0.25">
      <c r="A166">
        <v>846</v>
      </c>
      <c r="B166" t="s">
        <v>527</v>
      </c>
      <c r="C166" t="s">
        <v>528</v>
      </c>
      <c r="D166">
        <v>8800000</v>
      </c>
      <c r="E166" t="str">
        <f t="shared" si="4"/>
        <v>Good</v>
      </c>
      <c r="F166" t="s">
        <v>145</v>
      </c>
      <c r="G166" t="str">
        <f>IF(D165&lt;10000,"Nano",IF(D165&lt;100000,"Micro",IF(D165&lt;1000000,"Macro","Mega")))</f>
        <v>Mega</v>
      </c>
      <c r="H166" t="str">
        <f t="shared" si="5"/>
        <v>High</v>
      </c>
      <c r="I166" t="s">
        <v>529</v>
      </c>
      <c r="J166">
        <v>306400</v>
      </c>
      <c r="K166" t="s">
        <v>33</v>
      </c>
      <c r="L166" t="s">
        <v>13</v>
      </c>
      <c r="M166">
        <v>2696320000000</v>
      </c>
    </row>
    <row r="167" spans="1:13" x14ac:dyDescent="0.25">
      <c r="A167">
        <v>847</v>
      </c>
      <c r="B167" t="s">
        <v>530</v>
      </c>
      <c r="C167" t="s">
        <v>531</v>
      </c>
      <c r="D167">
        <v>10400000</v>
      </c>
      <c r="E167" t="str">
        <f t="shared" si="4"/>
        <v>Good</v>
      </c>
      <c r="F167" t="s">
        <v>123</v>
      </c>
      <c r="G167" t="str">
        <f>IF(D166&lt;10000,"Nano",IF(D166&lt;100000,"Micro",IF(D166&lt;1000000,"Macro","Mega")))</f>
        <v>Mega</v>
      </c>
      <c r="H167" t="str">
        <f t="shared" si="5"/>
        <v>High</v>
      </c>
      <c r="I167" t="s">
        <v>532</v>
      </c>
      <c r="J167">
        <v>254300</v>
      </c>
      <c r="K167" t="s">
        <v>20</v>
      </c>
      <c r="L167" t="s">
        <v>102</v>
      </c>
      <c r="M167">
        <v>2644720000000</v>
      </c>
    </row>
    <row r="168" spans="1:13" x14ac:dyDescent="0.25">
      <c r="A168">
        <v>849</v>
      </c>
      <c r="B168" t="s">
        <v>533</v>
      </c>
      <c r="C168" t="s">
        <v>534</v>
      </c>
      <c r="D168">
        <v>8800000</v>
      </c>
      <c r="E168" t="str">
        <f t="shared" si="4"/>
        <v>Good</v>
      </c>
      <c r="F168" t="s">
        <v>11</v>
      </c>
      <c r="G168" t="str">
        <f>IF(D167&lt;10000,"Nano",IF(D167&lt;100000,"Micro",IF(D167&lt;1000000,"Macro","Mega")))</f>
        <v>Mega</v>
      </c>
      <c r="H168" t="str">
        <f t="shared" si="5"/>
        <v>High</v>
      </c>
      <c r="I168" t="s">
        <v>535</v>
      </c>
      <c r="J168">
        <v>302700</v>
      </c>
      <c r="K168" t="s">
        <v>102</v>
      </c>
      <c r="L168" t="s">
        <v>109</v>
      </c>
      <c r="M168">
        <v>2663760000000</v>
      </c>
    </row>
    <row r="169" spans="1:13" x14ac:dyDescent="0.25">
      <c r="A169">
        <v>850</v>
      </c>
      <c r="B169" t="s">
        <v>536</v>
      </c>
      <c r="C169" t="s">
        <v>537</v>
      </c>
      <c r="D169">
        <v>3800000</v>
      </c>
      <c r="E169" t="str">
        <f t="shared" si="4"/>
        <v>Good</v>
      </c>
      <c r="F169" t="s">
        <v>31</v>
      </c>
      <c r="G169" t="str">
        <f>IF(D168&lt;10000,"Nano",IF(D168&lt;100000,"Micro",IF(D168&lt;1000000,"Macro","Mega")))</f>
        <v>Mega</v>
      </c>
      <c r="H169" t="str">
        <f t="shared" si="5"/>
        <v>High</v>
      </c>
      <c r="I169" t="s">
        <v>538</v>
      </c>
      <c r="J169">
        <v>710100</v>
      </c>
      <c r="K169" t="s">
        <v>25</v>
      </c>
      <c r="L169" t="s">
        <v>13</v>
      </c>
      <c r="M169">
        <v>2698380000000</v>
      </c>
    </row>
    <row r="170" spans="1:13" x14ac:dyDescent="0.25">
      <c r="A170">
        <v>852</v>
      </c>
      <c r="B170" t="s">
        <v>539</v>
      </c>
      <c r="C170" t="s">
        <v>540</v>
      </c>
      <c r="D170">
        <v>3500000</v>
      </c>
      <c r="E170" t="str">
        <f t="shared" si="4"/>
        <v>Good</v>
      </c>
      <c r="F170" t="s">
        <v>11</v>
      </c>
      <c r="G170" t="str">
        <f>IF(D169&lt;10000,"Nano",IF(D169&lt;100000,"Micro",IF(D169&lt;1000000,"Macro","Mega")))</f>
        <v>Mega</v>
      </c>
      <c r="H170" t="str">
        <f t="shared" si="5"/>
        <v>High</v>
      </c>
      <c r="I170" t="s">
        <v>541</v>
      </c>
      <c r="J170">
        <v>771500</v>
      </c>
      <c r="K170" t="s">
        <v>25</v>
      </c>
      <c r="L170" t="s">
        <v>20</v>
      </c>
      <c r="M170">
        <v>2700250000000</v>
      </c>
    </row>
    <row r="171" spans="1:13" x14ac:dyDescent="0.25">
      <c r="A171">
        <v>855</v>
      </c>
      <c r="B171" t="s">
        <v>542</v>
      </c>
      <c r="C171" t="s">
        <v>543</v>
      </c>
      <c r="D171">
        <v>13900000</v>
      </c>
      <c r="E171" t="str">
        <f t="shared" si="4"/>
        <v>Good</v>
      </c>
      <c r="F171" t="s">
        <v>17</v>
      </c>
      <c r="G171" t="str">
        <f>IF(D170&lt;10000,"Nano",IF(D170&lt;100000,"Micro",IF(D170&lt;1000000,"Macro","Mega")))</f>
        <v>Mega</v>
      </c>
      <c r="H171" t="str">
        <f t="shared" si="5"/>
        <v>High</v>
      </c>
      <c r="I171" t="s">
        <v>544</v>
      </c>
      <c r="J171">
        <v>187900</v>
      </c>
      <c r="K171" t="s">
        <v>37</v>
      </c>
      <c r="L171" t="s">
        <v>113</v>
      </c>
      <c r="M171">
        <v>2611810000000</v>
      </c>
    </row>
    <row r="172" spans="1:13" x14ac:dyDescent="0.25">
      <c r="A172">
        <v>862</v>
      </c>
      <c r="B172" t="s">
        <v>545</v>
      </c>
      <c r="C172" t="s">
        <v>546</v>
      </c>
      <c r="D172">
        <v>9800000</v>
      </c>
      <c r="E172" t="str">
        <f t="shared" si="4"/>
        <v>Good</v>
      </c>
      <c r="F172" t="s">
        <v>17</v>
      </c>
      <c r="G172" t="str">
        <f>IF(D171&lt;10000,"Nano",IF(D171&lt;100000,"Micro",IF(D171&lt;1000000,"Macro","Mega")))</f>
        <v>Mega</v>
      </c>
      <c r="H172" t="str">
        <f t="shared" si="5"/>
        <v>High</v>
      </c>
      <c r="I172" t="s">
        <v>547</v>
      </c>
      <c r="J172">
        <v>268800</v>
      </c>
      <c r="K172" t="s">
        <v>13</v>
      </c>
      <c r="L172" t="s">
        <v>109</v>
      </c>
      <c r="M172">
        <v>2634240000000</v>
      </c>
    </row>
    <row r="173" spans="1:13" x14ac:dyDescent="0.25">
      <c r="A173">
        <v>865</v>
      </c>
      <c r="B173" t="s">
        <v>548</v>
      </c>
      <c r="C173" t="s">
        <v>549</v>
      </c>
      <c r="D173">
        <v>12600000</v>
      </c>
      <c r="E173" t="str">
        <f t="shared" si="4"/>
        <v>Good</v>
      </c>
      <c r="F173" t="s">
        <v>17</v>
      </c>
      <c r="G173" t="str">
        <f>IF(D172&lt;10000,"Nano",IF(D172&lt;100000,"Micro",IF(D172&lt;1000000,"Macro","Mega")))</f>
        <v>Mega</v>
      </c>
      <c r="H173" t="str">
        <f t="shared" si="5"/>
        <v>High</v>
      </c>
      <c r="I173" t="s">
        <v>550</v>
      </c>
      <c r="J173">
        <v>203000</v>
      </c>
      <c r="K173" t="s">
        <v>109</v>
      </c>
      <c r="L173" t="s">
        <v>20</v>
      </c>
      <c r="M173">
        <v>2557800000000</v>
      </c>
    </row>
    <row r="174" spans="1:13" x14ac:dyDescent="0.25">
      <c r="A174">
        <v>871</v>
      </c>
      <c r="B174" t="s">
        <v>551</v>
      </c>
      <c r="C174" t="s">
        <v>552</v>
      </c>
      <c r="D174">
        <v>6700000</v>
      </c>
      <c r="E174" t="str">
        <f t="shared" si="4"/>
        <v>Good</v>
      </c>
      <c r="F174" t="s">
        <v>17</v>
      </c>
      <c r="G174" t="str">
        <f>IF(D173&lt;10000,"Nano",IF(D173&lt;100000,"Micro",IF(D173&lt;1000000,"Macro","Mega")))</f>
        <v>Mega</v>
      </c>
      <c r="H174" t="str">
        <f t="shared" si="5"/>
        <v>High</v>
      </c>
      <c r="I174" t="s">
        <v>553</v>
      </c>
      <c r="J174">
        <v>384500</v>
      </c>
      <c r="K174" t="s">
        <v>20</v>
      </c>
      <c r="L174" t="s">
        <v>109</v>
      </c>
      <c r="M174">
        <v>2576150000000</v>
      </c>
    </row>
    <row r="175" spans="1:13" x14ac:dyDescent="0.25">
      <c r="A175">
        <v>872</v>
      </c>
      <c r="B175" t="s">
        <v>554</v>
      </c>
      <c r="C175" t="s">
        <v>555</v>
      </c>
      <c r="D175">
        <v>15900000</v>
      </c>
      <c r="E175" t="str">
        <f t="shared" si="4"/>
        <v>Good</v>
      </c>
      <c r="F175" t="s">
        <v>219</v>
      </c>
      <c r="G175" t="str">
        <f>IF(D174&lt;10000,"Nano",IF(D174&lt;100000,"Micro",IF(D174&lt;1000000,"Macro","Mega")))</f>
        <v>Mega</v>
      </c>
      <c r="H175" t="str">
        <f t="shared" si="5"/>
        <v>High</v>
      </c>
      <c r="I175" t="s">
        <v>556</v>
      </c>
      <c r="J175">
        <v>158800</v>
      </c>
      <c r="K175" t="s">
        <v>13</v>
      </c>
      <c r="L175" t="s">
        <v>95</v>
      </c>
      <c r="M175">
        <v>2524920000000</v>
      </c>
    </row>
    <row r="176" spans="1:13" x14ac:dyDescent="0.25">
      <c r="A176">
        <v>875</v>
      </c>
      <c r="B176" t="s">
        <v>557</v>
      </c>
      <c r="C176" t="s">
        <v>558</v>
      </c>
      <c r="D176">
        <v>18200000</v>
      </c>
      <c r="E176" t="str">
        <f t="shared" si="4"/>
        <v>Good</v>
      </c>
      <c r="F176" t="s">
        <v>17</v>
      </c>
      <c r="G176" t="str">
        <f>IF(D175&lt;10000,"Nano",IF(D175&lt;100000,"Micro",IF(D175&lt;1000000,"Macro","Mega")))</f>
        <v>Mega</v>
      </c>
      <c r="H176" t="str">
        <f t="shared" si="5"/>
        <v>High</v>
      </c>
      <c r="I176" t="s">
        <v>559</v>
      </c>
      <c r="J176">
        <v>139500</v>
      </c>
      <c r="K176" t="s">
        <v>33</v>
      </c>
      <c r="L176" t="s">
        <v>70</v>
      </c>
      <c r="M176">
        <v>2538900000000</v>
      </c>
    </row>
    <row r="177" spans="1:13" x14ac:dyDescent="0.25">
      <c r="A177">
        <v>877</v>
      </c>
      <c r="B177" t="s">
        <v>560</v>
      </c>
      <c r="C177" t="s">
        <v>561</v>
      </c>
      <c r="D177">
        <v>22200000</v>
      </c>
      <c r="E177" t="str">
        <f t="shared" si="4"/>
        <v>Good</v>
      </c>
      <c r="F177" t="s">
        <v>79</v>
      </c>
      <c r="G177" t="str">
        <f>IF(D176&lt;10000,"Nano",IF(D176&lt;100000,"Micro",IF(D176&lt;1000000,"Macro","Mega")))</f>
        <v>Mega</v>
      </c>
      <c r="H177" t="str">
        <f t="shared" si="5"/>
        <v>High</v>
      </c>
      <c r="I177" t="s">
        <v>562</v>
      </c>
      <c r="J177">
        <v>112400</v>
      </c>
      <c r="K177" t="s">
        <v>102</v>
      </c>
      <c r="L177" t="s">
        <v>109</v>
      </c>
      <c r="M177">
        <v>2495280000000</v>
      </c>
    </row>
    <row r="178" spans="1:13" x14ac:dyDescent="0.25">
      <c r="A178">
        <v>879</v>
      </c>
      <c r="B178" t="s">
        <v>563</v>
      </c>
      <c r="C178" t="s">
        <v>564</v>
      </c>
      <c r="D178">
        <v>10800000</v>
      </c>
      <c r="E178" t="str">
        <f t="shared" si="4"/>
        <v>Good</v>
      </c>
      <c r="F178" t="s">
        <v>79</v>
      </c>
      <c r="G178" t="str">
        <f>IF(D177&lt;10000,"Nano",IF(D177&lt;100000,"Micro",IF(D177&lt;1000000,"Macro","Mega")))</f>
        <v>Mega</v>
      </c>
      <c r="H178" t="str">
        <f t="shared" si="5"/>
        <v>High</v>
      </c>
      <c r="I178" t="s">
        <v>565</v>
      </c>
      <c r="J178">
        <v>232400</v>
      </c>
      <c r="K178" t="s">
        <v>109</v>
      </c>
      <c r="L178" t="s">
        <v>102</v>
      </c>
      <c r="M178">
        <v>2509920000000</v>
      </c>
    </row>
    <row r="179" spans="1:13" x14ac:dyDescent="0.25">
      <c r="A179">
        <v>883</v>
      </c>
      <c r="B179" t="s">
        <v>566</v>
      </c>
      <c r="C179" t="s">
        <v>567</v>
      </c>
      <c r="D179">
        <v>9800000</v>
      </c>
      <c r="E179" t="str">
        <f t="shared" si="4"/>
        <v>Good</v>
      </c>
      <c r="F179" t="s">
        <v>31</v>
      </c>
      <c r="G179" t="str">
        <f>IF(D178&lt;10000,"Nano",IF(D178&lt;100000,"Micro",IF(D178&lt;1000000,"Macro","Mega")))</f>
        <v>Mega</v>
      </c>
      <c r="H179" t="str">
        <f t="shared" si="5"/>
        <v>High</v>
      </c>
      <c r="I179" t="s">
        <v>568</v>
      </c>
      <c r="J179">
        <v>255700</v>
      </c>
      <c r="K179" t="s">
        <v>13</v>
      </c>
      <c r="L179" t="s">
        <v>20</v>
      </c>
      <c r="M179">
        <v>2505860000000</v>
      </c>
    </row>
    <row r="180" spans="1:13" x14ac:dyDescent="0.25">
      <c r="A180">
        <v>884</v>
      </c>
      <c r="B180" t="s">
        <v>569</v>
      </c>
      <c r="C180" t="s">
        <v>570</v>
      </c>
      <c r="D180">
        <v>9600000</v>
      </c>
      <c r="E180" t="str">
        <f t="shared" si="4"/>
        <v>Good</v>
      </c>
      <c r="F180" t="s">
        <v>11</v>
      </c>
      <c r="G180" t="str">
        <f>IF(D179&lt;10000,"Nano",IF(D179&lt;100000,"Micro",IF(D179&lt;1000000,"Macro","Mega")))</f>
        <v>Mega</v>
      </c>
      <c r="H180" t="str">
        <f t="shared" si="5"/>
        <v>High</v>
      </c>
      <c r="I180" t="s">
        <v>571</v>
      </c>
      <c r="J180">
        <v>262800</v>
      </c>
      <c r="K180" t="s">
        <v>37</v>
      </c>
      <c r="L180" t="s">
        <v>13</v>
      </c>
      <c r="M180">
        <v>2522880000000</v>
      </c>
    </row>
    <row r="181" spans="1:13" x14ac:dyDescent="0.25">
      <c r="A181">
        <v>891</v>
      </c>
      <c r="B181" t="s">
        <v>572</v>
      </c>
      <c r="C181" t="s">
        <v>573</v>
      </c>
      <c r="D181">
        <v>9900000</v>
      </c>
      <c r="E181" t="str">
        <f t="shared" si="4"/>
        <v>Good</v>
      </c>
      <c r="F181" t="s">
        <v>574</v>
      </c>
      <c r="G181" t="str">
        <f>IF(D180&lt;10000,"Nano",IF(D180&lt;100000,"Micro",IF(D180&lt;1000000,"Macro","Mega")))</f>
        <v>Mega</v>
      </c>
      <c r="H181" t="str">
        <f t="shared" si="5"/>
        <v>High</v>
      </c>
      <c r="I181" t="s">
        <v>575</v>
      </c>
      <c r="J181">
        <v>250500</v>
      </c>
      <c r="K181" t="s">
        <v>13</v>
      </c>
      <c r="L181" t="s">
        <v>50</v>
      </c>
      <c r="M181">
        <v>2479950000000</v>
      </c>
    </row>
    <row r="182" spans="1:13" x14ac:dyDescent="0.25">
      <c r="A182">
        <v>896</v>
      </c>
      <c r="B182" t="s">
        <v>576</v>
      </c>
      <c r="C182" t="s">
        <v>577</v>
      </c>
      <c r="D182">
        <v>8100000</v>
      </c>
      <c r="E182" t="str">
        <f t="shared" si="4"/>
        <v>Good</v>
      </c>
      <c r="F182" t="s">
        <v>11</v>
      </c>
      <c r="G182" t="str">
        <f>IF(D181&lt;10000,"Nano",IF(D181&lt;100000,"Micro",IF(D181&lt;1000000,"Macro","Mega")))</f>
        <v>Mega</v>
      </c>
      <c r="H182" t="str">
        <f t="shared" si="5"/>
        <v>High</v>
      </c>
      <c r="I182" t="s">
        <v>578</v>
      </c>
      <c r="J182">
        <v>304000</v>
      </c>
      <c r="K182" t="s">
        <v>20</v>
      </c>
      <c r="L182" t="s">
        <v>38</v>
      </c>
      <c r="M182">
        <v>2462400000000</v>
      </c>
    </row>
    <row r="183" spans="1:13" x14ac:dyDescent="0.25">
      <c r="A183">
        <v>897</v>
      </c>
      <c r="B183" t="s">
        <v>579</v>
      </c>
      <c r="C183" t="s">
        <v>580</v>
      </c>
      <c r="D183">
        <v>26000000</v>
      </c>
      <c r="E183" t="str">
        <f t="shared" si="4"/>
        <v>Good</v>
      </c>
      <c r="F183" t="s">
        <v>17</v>
      </c>
      <c r="G183" t="str">
        <f>IF(D182&lt;10000,"Nano",IF(D182&lt;100000,"Micro",IF(D182&lt;1000000,"Macro","Mega")))</f>
        <v>Mega</v>
      </c>
      <c r="H183" t="str">
        <f t="shared" si="5"/>
        <v>High</v>
      </c>
      <c r="I183" t="s">
        <v>581</v>
      </c>
      <c r="J183">
        <v>93700</v>
      </c>
      <c r="K183" t="s">
        <v>102</v>
      </c>
      <c r="L183" t="s">
        <v>45</v>
      </c>
      <c r="M183">
        <v>2436200000000</v>
      </c>
    </row>
    <row r="184" spans="1:13" x14ac:dyDescent="0.25">
      <c r="A184">
        <v>899</v>
      </c>
      <c r="B184" t="s">
        <v>582</v>
      </c>
      <c r="C184" t="s">
        <v>583</v>
      </c>
      <c r="D184">
        <v>19000000</v>
      </c>
      <c r="E184" t="str">
        <f t="shared" si="4"/>
        <v>Good</v>
      </c>
      <c r="F184" t="s">
        <v>79</v>
      </c>
      <c r="G184" t="str">
        <f>IF(D183&lt;10000,"Nano",IF(D183&lt;100000,"Micro",IF(D183&lt;1000000,"Macro","Mega")))</f>
        <v>Mega</v>
      </c>
      <c r="H184" t="str">
        <f t="shared" si="5"/>
        <v>High</v>
      </c>
      <c r="I184" t="s">
        <v>584</v>
      </c>
      <c r="J184">
        <v>130000</v>
      </c>
      <c r="K184" t="s">
        <v>70</v>
      </c>
      <c r="L184" t="s">
        <v>114</v>
      </c>
      <c r="M184">
        <v>2470000000000</v>
      </c>
    </row>
    <row r="185" spans="1:13" x14ac:dyDescent="0.25">
      <c r="A185">
        <v>903</v>
      </c>
      <c r="B185" t="s">
        <v>585</v>
      </c>
      <c r="C185" t="s">
        <v>586</v>
      </c>
      <c r="D185">
        <v>9000000</v>
      </c>
      <c r="E185" t="str">
        <f t="shared" si="4"/>
        <v>Good</v>
      </c>
      <c r="F185" t="s">
        <v>587</v>
      </c>
      <c r="G185" t="str">
        <f>IF(D184&lt;10000,"Nano",IF(D184&lt;100000,"Micro",IF(D184&lt;1000000,"Macro","Mega")))</f>
        <v>Mega</v>
      </c>
      <c r="H185" t="str">
        <f t="shared" si="5"/>
        <v>High</v>
      </c>
      <c r="I185" t="s">
        <v>588</v>
      </c>
      <c r="J185">
        <v>273300</v>
      </c>
      <c r="K185" t="s">
        <v>38</v>
      </c>
      <c r="L185" t="s">
        <v>418</v>
      </c>
      <c r="M185">
        <v>2459700000000</v>
      </c>
    </row>
    <row r="186" spans="1:13" x14ac:dyDescent="0.25">
      <c r="A186">
        <v>904</v>
      </c>
      <c r="B186" t="s">
        <v>589</v>
      </c>
      <c r="C186" t="s">
        <v>590</v>
      </c>
      <c r="D186">
        <v>6000000</v>
      </c>
      <c r="E186" t="str">
        <f t="shared" si="4"/>
        <v>Good</v>
      </c>
      <c r="F186" t="s">
        <v>591</v>
      </c>
      <c r="G186" t="str">
        <f>IF(D185&lt;10000,"Nano",IF(D185&lt;100000,"Micro",IF(D185&lt;1000000,"Macro","Mega")))</f>
        <v>Mega</v>
      </c>
      <c r="H186" t="str">
        <f t="shared" si="5"/>
        <v>High</v>
      </c>
      <c r="I186" t="s">
        <v>592</v>
      </c>
      <c r="J186">
        <v>413200</v>
      </c>
      <c r="K186" t="s">
        <v>102</v>
      </c>
      <c r="L186" t="s">
        <v>20</v>
      </c>
      <c r="M186">
        <v>2479200000000</v>
      </c>
    </row>
    <row r="187" spans="1:13" x14ac:dyDescent="0.25">
      <c r="A187">
        <v>907</v>
      </c>
      <c r="B187" t="s">
        <v>593</v>
      </c>
      <c r="C187" t="s">
        <v>594</v>
      </c>
      <c r="D187">
        <v>7900000</v>
      </c>
      <c r="E187" t="str">
        <f t="shared" si="4"/>
        <v>Good</v>
      </c>
      <c r="F187" t="s">
        <v>17</v>
      </c>
      <c r="G187" t="str">
        <f>IF(D186&lt;10000,"Nano",IF(D186&lt;100000,"Micro",IF(D186&lt;1000000,"Macro","Mega")))</f>
        <v>Mega</v>
      </c>
      <c r="H187" t="str">
        <f t="shared" si="5"/>
        <v>High</v>
      </c>
      <c r="I187" t="s">
        <v>595</v>
      </c>
      <c r="J187">
        <v>311500</v>
      </c>
      <c r="K187" t="s">
        <v>87</v>
      </c>
      <c r="L187" t="s">
        <v>88</v>
      </c>
      <c r="M187">
        <v>2460850000000</v>
      </c>
    </row>
    <row r="188" spans="1:13" x14ac:dyDescent="0.25">
      <c r="A188">
        <v>909</v>
      </c>
      <c r="B188" t="s">
        <v>596</v>
      </c>
      <c r="C188" t="s">
        <v>597</v>
      </c>
      <c r="D188">
        <v>25400000</v>
      </c>
      <c r="E188" t="str">
        <f t="shared" si="4"/>
        <v>Good</v>
      </c>
      <c r="F188" t="s">
        <v>11</v>
      </c>
      <c r="G188" t="str">
        <f>IF(D187&lt;10000,"Nano",IF(D187&lt;100000,"Micro",IF(D187&lt;1000000,"Macro","Mega")))</f>
        <v>Mega</v>
      </c>
      <c r="H188" t="str">
        <f t="shared" si="5"/>
        <v>High</v>
      </c>
      <c r="I188" t="s">
        <v>598</v>
      </c>
      <c r="J188">
        <v>94700</v>
      </c>
      <c r="K188" t="s">
        <v>13</v>
      </c>
      <c r="L188" t="s">
        <v>109</v>
      </c>
      <c r="M188">
        <v>2405380000000</v>
      </c>
    </row>
    <row r="189" spans="1:13" x14ac:dyDescent="0.25">
      <c r="A189">
        <v>911</v>
      </c>
      <c r="B189" t="s">
        <v>599</v>
      </c>
      <c r="C189" t="s">
        <v>600</v>
      </c>
      <c r="D189">
        <v>9400000</v>
      </c>
      <c r="E189" t="str">
        <f t="shared" si="4"/>
        <v>Good</v>
      </c>
      <c r="F189" t="s">
        <v>123</v>
      </c>
      <c r="G189" t="str">
        <f>IF(D188&lt;10000,"Nano",IF(D188&lt;100000,"Micro",IF(D188&lt;1000000,"Macro","Mega")))</f>
        <v>Mega</v>
      </c>
      <c r="H189" t="str">
        <f t="shared" si="5"/>
        <v>High</v>
      </c>
      <c r="I189" t="s">
        <v>601</v>
      </c>
      <c r="J189">
        <v>259300</v>
      </c>
      <c r="K189" t="s">
        <v>37</v>
      </c>
      <c r="L189" t="s">
        <v>20</v>
      </c>
      <c r="M189">
        <v>2437420000000</v>
      </c>
    </row>
    <row r="190" spans="1:13" x14ac:dyDescent="0.25">
      <c r="A190">
        <v>914</v>
      </c>
      <c r="B190" t="s">
        <v>602</v>
      </c>
      <c r="C190" t="s">
        <v>603</v>
      </c>
      <c r="D190">
        <v>12600000</v>
      </c>
      <c r="E190" t="str">
        <f t="shared" si="4"/>
        <v>Good</v>
      </c>
      <c r="F190" t="s">
        <v>17</v>
      </c>
      <c r="G190" t="str">
        <f>IF(D189&lt;10000,"Nano",IF(D189&lt;100000,"Micro",IF(D189&lt;1000000,"Macro","Mega")))</f>
        <v>Mega</v>
      </c>
      <c r="H190" t="str">
        <f t="shared" si="5"/>
        <v>High</v>
      </c>
      <c r="I190" t="s">
        <v>604</v>
      </c>
      <c r="J190">
        <v>189900</v>
      </c>
      <c r="K190" t="s">
        <v>20</v>
      </c>
      <c r="L190" t="s">
        <v>109</v>
      </c>
      <c r="M190">
        <v>2392740000000</v>
      </c>
    </row>
    <row r="191" spans="1:13" x14ac:dyDescent="0.25">
      <c r="A191">
        <v>917</v>
      </c>
      <c r="B191" t="s">
        <v>605</v>
      </c>
      <c r="C191" t="s">
        <v>606</v>
      </c>
      <c r="D191">
        <v>5700000</v>
      </c>
      <c r="E191" t="str">
        <f t="shared" si="4"/>
        <v>Good</v>
      </c>
      <c r="F191" t="s">
        <v>205</v>
      </c>
      <c r="G191" t="str">
        <f>IF(D190&lt;10000,"Nano",IF(D190&lt;100000,"Micro",IF(D190&lt;1000000,"Macro","Mega")))</f>
        <v>Mega</v>
      </c>
      <c r="H191" t="str">
        <f t="shared" si="5"/>
        <v>High</v>
      </c>
      <c r="I191" t="s">
        <v>607</v>
      </c>
      <c r="J191">
        <v>421200</v>
      </c>
      <c r="K191" t="s">
        <v>608</v>
      </c>
      <c r="L191" t="s">
        <v>372</v>
      </c>
      <c r="M191">
        <v>2400840000000</v>
      </c>
    </row>
    <row r="192" spans="1:13" x14ac:dyDescent="0.25">
      <c r="A192">
        <v>919</v>
      </c>
      <c r="B192" t="s">
        <v>609</v>
      </c>
      <c r="C192" t="s">
        <v>610</v>
      </c>
      <c r="D192">
        <v>9100000</v>
      </c>
      <c r="E192" t="str">
        <f t="shared" si="4"/>
        <v>Good</v>
      </c>
      <c r="F192" t="s">
        <v>11</v>
      </c>
      <c r="G192" t="str">
        <f>IF(D191&lt;10000,"Nano",IF(D191&lt;100000,"Micro",IF(D191&lt;1000000,"Macro","Mega")))</f>
        <v>Mega</v>
      </c>
      <c r="H192" t="str">
        <f t="shared" si="5"/>
        <v>High</v>
      </c>
      <c r="I192" t="s">
        <v>611</v>
      </c>
      <c r="J192">
        <v>268800</v>
      </c>
      <c r="K192" t="s">
        <v>20</v>
      </c>
      <c r="L192" t="s">
        <v>13</v>
      </c>
      <c r="M192">
        <v>2446080000000</v>
      </c>
    </row>
    <row r="193" spans="1:13" x14ac:dyDescent="0.25">
      <c r="A193">
        <v>920</v>
      </c>
      <c r="B193" t="s">
        <v>612</v>
      </c>
      <c r="C193" t="s">
        <v>613</v>
      </c>
      <c r="D193">
        <v>10000000</v>
      </c>
      <c r="E193" t="str">
        <f t="shared" si="4"/>
        <v>Good</v>
      </c>
      <c r="F193" t="s">
        <v>205</v>
      </c>
      <c r="G193" t="str">
        <f>IF(D192&lt;10000,"Nano",IF(D192&lt;100000,"Micro",IF(D192&lt;1000000,"Macro","Mega")))</f>
        <v>Mega</v>
      </c>
      <c r="H193" t="str">
        <f t="shared" si="5"/>
        <v>High</v>
      </c>
      <c r="I193" t="s">
        <v>614</v>
      </c>
      <c r="J193">
        <v>246200</v>
      </c>
      <c r="K193" t="s">
        <v>13</v>
      </c>
      <c r="L193" t="s">
        <v>109</v>
      </c>
      <c r="M193">
        <v>2462000000000</v>
      </c>
    </row>
    <row r="194" spans="1:13" x14ac:dyDescent="0.25">
      <c r="A194">
        <v>921</v>
      </c>
      <c r="B194" t="s">
        <v>615</v>
      </c>
      <c r="C194" t="s">
        <v>616</v>
      </c>
      <c r="D194">
        <v>9600000</v>
      </c>
      <c r="E194" t="str">
        <f t="shared" ref="E194:E214" si="6">IF(H194&lt;0.01,"Fake","Good")</f>
        <v>Good</v>
      </c>
      <c r="F194" t="s">
        <v>79</v>
      </c>
      <c r="G194" t="str">
        <f>IF(D193&lt;10000,"Nano",IF(D193&lt;100000,"Micro",IF(D193&lt;1000000,"Macro","Mega")))</f>
        <v>Mega</v>
      </c>
      <c r="H194" t="str">
        <f t="shared" ref="H194:H214" si="7">IF(J194&gt;0.05,"High",IF(J194&gt;0.02,"Medium","Low"))</f>
        <v>High</v>
      </c>
      <c r="I194" t="s">
        <v>617</v>
      </c>
      <c r="J194">
        <v>254500</v>
      </c>
      <c r="K194" t="s">
        <v>102</v>
      </c>
      <c r="L194" t="s">
        <v>20</v>
      </c>
      <c r="M194">
        <v>2443200000000</v>
      </c>
    </row>
    <row r="195" spans="1:13" x14ac:dyDescent="0.25">
      <c r="A195">
        <v>927</v>
      </c>
      <c r="B195" t="s">
        <v>618</v>
      </c>
      <c r="C195" t="s">
        <v>619</v>
      </c>
      <c r="D195">
        <v>5700000</v>
      </c>
      <c r="E195" t="str">
        <f t="shared" si="6"/>
        <v>Good</v>
      </c>
      <c r="F195" t="s">
        <v>145</v>
      </c>
      <c r="G195" t="str">
        <f>IF(D194&lt;10000,"Nano",IF(D194&lt;100000,"Micro",IF(D194&lt;1000000,"Macro","Mega")))</f>
        <v>Mega</v>
      </c>
      <c r="H195" t="str">
        <f t="shared" si="7"/>
        <v>High</v>
      </c>
      <c r="I195" t="s">
        <v>620</v>
      </c>
      <c r="J195">
        <v>418700</v>
      </c>
      <c r="K195" t="s">
        <v>109</v>
      </c>
      <c r="L195" t="s">
        <v>154</v>
      </c>
      <c r="M195">
        <v>2386590000000</v>
      </c>
    </row>
    <row r="196" spans="1:13" x14ac:dyDescent="0.25">
      <c r="A196">
        <v>929</v>
      </c>
      <c r="B196" t="s">
        <v>621</v>
      </c>
      <c r="C196" t="s">
        <v>622</v>
      </c>
      <c r="D196">
        <v>11900000</v>
      </c>
      <c r="E196" t="str">
        <f t="shared" si="6"/>
        <v>Good</v>
      </c>
      <c r="F196" t="s">
        <v>623</v>
      </c>
      <c r="G196" t="str">
        <f>IF(D195&lt;10000,"Nano",IF(D195&lt;100000,"Micro",IF(D195&lt;1000000,"Macro","Mega")))</f>
        <v>Mega</v>
      </c>
      <c r="H196" t="str">
        <f t="shared" si="7"/>
        <v>High</v>
      </c>
      <c r="I196" t="s">
        <v>624</v>
      </c>
      <c r="J196">
        <v>194900</v>
      </c>
      <c r="K196" t="s">
        <v>13</v>
      </c>
      <c r="L196" t="s">
        <v>109</v>
      </c>
      <c r="M196">
        <v>2319310000000</v>
      </c>
    </row>
    <row r="197" spans="1:13" x14ac:dyDescent="0.25">
      <c r="A197">
        <v>939</v>
      </c>
      <c r="B197" t="s">
        <v>625</v>
      </c>
      <c r="C197" t="s">
        <v>626</v>
      </c>
      <c r="D197">
        <v>4700000</v>
      </c>
      <c r="E197" t="str">
        <f t="shared" si="6"/>
        <v>Good</v>
      </c>
      <c r="F197" t="s">
        <v>627</v>
      </c>
      <c r="G197" t="str">
        <f>IF(D196&lt;10000,"Nano",IF(D196&lt;100000,"Micro",IF(D196&lt;1000000,"Macro","Mega")))</f>
        <v>Mega</v>
      </c>
      <c r="H197" t="str">
        <f t="shared" si="7"/>
        <v>High</v>
      </c>
      <c r="I197" t="s">
        <v>628</v>
      </c>
      <c r="J197">
        <v>506800</v>
      </c>
      <c r="K197" t="s">
        <v>20</v>
      </c>
      <c r="L197" t="s">
        <v>608</v>
      </c>
      <c r="M197">
        <v>2381960000000</v>
      </c>
    </row>
    <row r="198" spans="1:13" x14ac:dyDescent="0.25">
      <c r="A198">
        <v>944</v>
      </c>
      <c r="B198" t="s">
        <v>629</v>
      </c>
      <c r="C198" t="s">
        <v>630</v>
      </c>
      <c r="D198">
        <v>6400000</v>
      </c>
      <c r="E198" t="str">
        <f t="shared" si="6"/>
        <v>Good</v>
      </c>
      <c r="F198" t="s">
        <v>631</v>
      </c>
      <c r="G198" t="str">
        <f>IF(D197&lt;10000,"Nano",IF(D197&lt;100000,"Micro",IF(D197&lt;1000000,"Macro","Mega")))</f>
        <v>Mega</v>
      </c>
      <c r="H198" t="str">
        <f t="shared" si="7"/>
        <v>High</v>
      </c>
      <c r="I198" t="s">
        <v>632</v>
      </c>
      <c r="J198">
        <v>362300</v>
      </c>
      <c r="K198" t="s">
        <v>20</v>
      </c>
      <c r="L198" t="s">
        <v>37</v>
      </c>
      <c r="M198">
        <v>2318720000000</v>
      </c>
    </row>
    <row r="199" spans="1:13" x14ac:dyDescent="0.25">
      <c r="A199">
        <v>945</v>
      </c>
      <c r="B199" t="s">
        <v>633</v>
      </c>
      <c r="C199" t="s">
        <v>634</v>
      </c>
      <c r="D199">
        <v>3700000</v>
      </c>
      <c r="E199" t="str">
        <f t="shared" si="6"/>
        <v>Good</v>
      </c>
      <c r="F199" t="s">
        <v>17</v>
      </c>
      <c r="G199" t="str">
        <f>IF(D198&lt;10000,"Nano",IF(D198&lt;100000,"Micro",IF(D198&lt;1000000,"Macro","Mega")))</f>
        <v>Mega</v>
      </c>
      <c r="H199" t="str">
        <f t="shared" si="7"/>
        <v>High</v>
      </c>
      <c r="I199" t="s">
        <v>635</v>
      </c>
      <c r="J199">
        <v>625400</v>
      </c>
      <c r="K199" t="s">
        <v>25</v>
      </c>
      <c r="L199" t="s">
        <v>109</v>
      </c>
      <c r="M199">
        <v>2313980000000</v>
      </c>
    </row>
    <row r="200" spans="1:13" x14ac:dyDescent="0.25">
      <c r="A200">
        <v>946</v>
      </c>
      <c r="B200" t="s">
        <v>636</v>
      </c>
      <c r="C200" t="s">
        <v>637</v>
      </c>
      <c r="D200">
        <v>11200000</v>
      </c>
      <c r="E200" t="str">
        <f t="shared" si="6"/>
        <v>Good</v>
      </c>
      <c r="F200" t="s">
        <v>186</v>
      </c>
      <c r="G200" t="str">
        <f>IF(D199&lt;10000,"Nano",IF(D199&lt;100000,"Micro",IF(D199&lt;1000000,"Macro","Mega")))</f>
        <v>Mega</v>
      </c>
      <c r="H200" t="str">
        <f t="shared" si="7"/>
        <v>High</v>
      </c>
      <c r="I200" t="s">
        <v>638</v>
      </c>
      <c r="J200">
        <v>203700</v>
      </c>
      <c r="K200" t="s">
        <v>13</v>
      </c>
      <c r="L200" t="s">
        <v>20</v>
      </c>
      <c r="M200">
        <v>2281440000000</v>
      </c>
    </row>
    <row r="201" spans="1:13" x14ac:dyDescent="0.25">
      <c r="A201">
        <v>947</v>
      </c>
      <c r="B201" t="s">
        <v>639</v>
      </c>
      <c r="C201" t="s">
        <v>640</v>
      </c>
      <c r="D201">
        <v>16700000</v>
      </c>
      <c r="E201" t="str">
        <f t="shared" si="6"/>
        <v>Good</v>
      </c>
      <c r="F201" t="s">
        <v>17</v>
      </c>
      <c r="G201" t="str">
        <f>IF(D200&lt;10000,"Nano",IF(D200&lt;100000,"Micro",IF(D200&lt;1000000,"Macro","Mega")))</f>
        <v>Mega</v>
      </c>
      <c r="H201" t="str">
        <f t="shared" si="7"/>
        <v>High</v>
      </c>
      <c r="I201" t="s">
        <v>641</v>
      </c>
      <c r="J201">
        <v>136400</v>
      </c>
      <c r="K201" t="s">
        <v>372</v>
      </c>
      <c r="L201" t="s">
        <v>371</v>
      </c>
      <c r="M201">
        <v>2277880000000</v>
      </c>
    </row>
    <row r="202" spans="1:13" x14ac:dyDescent="0.25">
      <c r="A202">
        <v>948</v>
      </c>
      <c r="B202" t="s">
        <v>642</v>
      </c>
      <c r="C202" t="s">
        <v>643</v>
      </c>
      <c r="D202">
        <v>15600000</v>
      </c>
      <c r="E202" t="str">
        <f t="shared" si="6"/>
        <v>Good</v>
      </c>
      <c r="F202" t="s">
        <v>17</v>
      </c>
      <c r="G202" t="str">
        <f>IF(D201&lt;10000,"Nano",IF(D201&lt;100000,"Micro",IF(D201&lt;1000000,"Macro","Mega")))</f>
        <v>Mega</v>
      </c>
      <c r="H202" t="str">
        <f t="shared" si="7"/>
        <v>High</v>
      </c>
      <c r="I202" t="s">
        <v>644</v>
      </c>
      <c r="J202">
        <v>147200</v>
      </c>
      <c r="K202" t="s">
        <v>50</v>
      </c>
      <c r="L202" t="s">
        <v>13</v>
      </c>
      <c r="M202">
        <v>2296320000000</v>
      </c>
    </row>
    <row r="203" spans="1:13" x14ac:dyDescent="0.25">
      <c r="A203">
        <v>951</v>
      </c>
      <c r="B203" t="s">
        <v>645</v>
      </c>
      <c r="C203" t="s">
        <v>646</v>
      </c>
      <c r="D203">
        <v>3800000</v>
      </c>
      <c r="E203" t="str">
        <f t="shared" si="6"/>
        <v>Good</v>
      </c>
      <c r="F203" t="s">
        <v>623</v>
      </c>
      <c r="G203" t="str">
        <f>IF(D202&lt;10000,"Nano",IF(D202&lt;100000,"Micro",IF(D202&lt;1000000,"Macro","Mega")))</f>
        <v>Mega</v>
      </c>
      <c r="H203" t="str">
        <f t="shared" si="7"/>
        <v>High</v>
      </c>
      <c r="I203" t="s">
        <v>647</v>
      </c>
      <c r="J203">
        <v>603800</v>
      </c>
      <c r="K203" t="s">
        <v>102</v>
      </c>
      <c r="L203" t="s">
        <v>20</v>
      </c>
      <c r="M203">
        <v>2294440000000</v>
      </c>
    </row>
    <row r="204" spans="1:13" x14ac:dyDescent="0.25">
      <c r="A204">
        <v>955</v>
      </c>
      <c r="B204" t="s">
        <v>648</v>
      </c>
      <c r="C204" t="s">
        <v>649</v>
      </c>
      <c r="D204">
        <v>18500000</v>
      </c>
      <c r="E204" t="str">
        <f t="shared" si="6"/>
        <v>Good</v>
      </c>
      <c r="F204" t="s">
        <v>123</v>
      </c>
      <c r="G204" t="str">
        <f>IF(D203&lt;10000,"Nano",IF(D203&lt;100000,"Micro",IF(D203&lt;1000000,"Macro","Mega")))</f>
        <v>Mega</v>
      </c>
      <c r="H204" t="str">
        <f t="shared" si="7"/>
        <v>High</v>
      </c>
      <c r="I204" t="s">
        <v>650</v>
      </c>
      <c r="J204">
        <v>121400</v>
      </c>
      <c r="K204" t="s">
        <v>14</v>
      </c>
      <c r="L204" t="s">
        <v>20</v>
      </c>
      <c r="M204">
        <v>2245900000000</v>
      </c>
    </row>
    <row r="205" spans="1:13" x14ac:dyDescent="0.25">
      <c r="A205">
        <v>956</v>
      </c>
      <c r="B205" t="s">
        <v>651</v>
      </c>
      <c r="C205" t="s">
        <v>652</v>
      </c>
      <c r="D205">
        <v>11600000</v>
      </c>
      <c r="E205" t="str">
        <f t="shared" si="6"/>
        <v>Good</v>
      </c>
      <c r="F205" t="s">
        <v>17</v>
      </c>
      <c r="G205" t="str">
        <f>IF(D204&lt;10000,"Nano",IF(D204&lt;100000,"Micro",IF(D204&lt;1000000,"Macro","Mega")))</f>
        <v>Mega</v>
      </c>
      <c r="H205" t="str">
        <f t="shared" si="7"/>
        <v>High</v>
      </c>
      <c r="I205" t="s">
        <v>653</v>
      </c>
      <c r="J205">
        <v>192600</v>
      </c>
      <c r="K205" t="s">
        <v>70</v>
      </c>
      <c r="L205" t="s">
        <v>216</v>
      </c>
      <c r="M205">
        <v>2234160000000</v>
      </c>
    </row>
    <row r="206" spans="1:13" x14ac:dyDescent="0.25">
      <c r="A206">
        <v>963</v>
      </c>
      <c r="B206" t="s">
        <v>654</v>
      </c>
      <c r="C206" t="s">
        <v>655</v>
      </c>
      <c r="D206">
        <v>10200000</v>
      </c>
      <c r="E206" t="str">
        <f t="shared" si="6"/>
        <v>Good</v>
      </c>
      <c r="F206" t="s">
        <v>11</v>
      </c>
      <c r="G206" t="str">
        <f>IF(D205&lt;10000,"Nano",IF(D205&lt;100000,"Micro",IF(D205&lt;1000000,"Macro","Mega")))</f>
        <v>Mega</v>
      </c>
      <c r="H206" t="str">
        <f t="shared" si="7"/>
        <v>High</v>
      </c>
      <c r="I206" t="s">
        <v>656</v>
      </c>
      <c r="J206">
        <v>216600</v>
      </c>
      <c r="K206" t="s">
        <v>33</v>
      </c>
      <c r="L206" t="s">
        <v>20</v>
      </c>
      <c r="M206">
        <v>2209320000000</v>
      </c>
    </row>
    <row r="207" spans="1:13" x14ac:dyDescent="0.25">
      <c r="A207">
        <v>967</v>
      </c>
      <c r="B207" t="s">
        <v>657</v>
      </c>
      <c r="C207" t="s">
        <v>658</v>
      </c>
      <c r="D207">
        <v>5300000</v>
      </c>
      <c r="E207" t="str">
        <f t="shared" si="6"/>
        <v>Good</v>
      </c>
      <c r="F207" t="s">
        <v>11</v>
      </c>
      <c r="G207" t="str">
        <f>IF(D206&lt;10000,"Nano",IF(D206&lt;100000,"Micro",IF(D206&lt;1000000,"Macro","Mega")))</f>
        <v>Mega</v>
      </c>
      <c r="H207" t="str">
        <f t="shared" si="7"/>
        <v>High</v>
      </c>
      <c r="I207" t="s">
        <v>659</v>
      </c>
      <c r="J207">
        <v>418000</v>
      </c>
      <c r="K207" t="s">
        <v>50</v>
      </c>
      <c r="L207" t="s">
        <v>13</v>
      </c>
      <c r="M207">
        <v>2215400000000</v>
      </c>
    </row>
    <row r="208" spans="1:13" x14ac:dyDescent="0.25">
      <c r="A208">
        <v>968</v>
      </c>
      <c r="B208" t="s">
        <v>660</v>
      </c>
      <c r="C208" t="s">
        <v>661</v>
      </c>
      <c r="D208">
        <v>3500000</v>
      </c>
      <c r="E208" t="str">
        <f t="shared" si="6"/>
        <v>Good</v>
      </c>
      <c r="F208" t="s">
        <v>662</v>
      </c>
      <c r="G208" t="str">
        <f>IF(D207&lt;10000,"Nano",IF(D207&lt;100000,"Micro",IF(D207&lt;1000000,"Macro","Mega")))</f>
        <v>Mega</v>
      </c>
      <c r="H208" t="str">
        <f t="shared" si="7"/>
        <v>High</v>
      </c>
      <c r="I208" t="s">
        <v>663</v>
      </c>
      <c r="J208">
        <v>640400</v>
      </c>
      <c r="K208" t="s">
        <v>33</v>
      </c>
      <c r="L208" t="s">
        <v>13</v>
      </c>
      <c r="M208">
        <v>2241400000000</v>
      </c>
    </row>
    <row r="209" spans="1:13" x14ac:dyDescent="0.25">
      <c r="A209">
        <v>977</v>
      </c>
      <c r="B209" t="s">
        <v>664</v>
      </c>
      <c r="C209" t="s">
        <v>665</v>
      </c>
      <c r="D209">
        <v>8000000</v>
      </c>
      <c r="E209" t="str">
        <f t="shared" si="6"/>
        <v>Good</v>
      </c>
      <c r="F209" t="s">
        <v>31</v>
      </c>
      <c r="G209" t="str">
        <f>IF(D208&lt;10000,"Nano",IF(D208&lt;100000,"Micro",IF(D208&lt;1000000,"Macro","Mega")))</f>
        <v>Mega</v>
      </c>
      <c r="H209" t="str">
        <f t="shared" si="7"/>
        <v>High</v>
      </c>
      <c r="I209" t="s">
        <v>666</v>
      </c>
      <c r="J209">
        <v>275100</v>
      </c>
      <c r="K209" t="s">
        <v>13</v>
      </c>
      <c r="L209" t="s">
        <v>20</v>
      </c>
      <c r="M209">
        <v>2200800000000</v>
      </c>
    </row>
    <row r="210" spans="1:13" x14ac:dyDescent="0.25">
      <c r="A210">
        <v>980</v>
      </c>
      <c r="B210" t="s">
        <v>667</v>
      </c>
      <c r="C210" t="s">
        <v>668</v>
      </c>
      <c r="D210">
        <v>6300000</v>
      </c>
      <c r="E210" t="str">
        <f t="shared" si="6"/>
        <v>Good</v>
      </c>
      <c r="F210" t="s">
        <v>11</v>
      </c>
      <c r="G210" t="str">
        <f>IF(D209&lt;10000,"Nano",IF(D209&lt;100000,"Micro",IF(D209&lt;1000000,"Macro","Mega")))</f>
        <v>Mega</v>
      </c>
      <c r="H210" t="str">
        <f t="shared" si="7"/>
        <v>High</v>
      </c>
      <c r="I210" t="s">
        <v>669</v>
      </c>
      <c r="J210">
        <v>376700</v>
      </c>
      <c r="K210" t="s">
        <v>95</v>
      </c>
      <c r="L210" t="s">
        <v>102</v>
      </c>
      <c r="M210">
        <v>2373210000000</v>
      </c>
    </row>
    <row r="211" spans="1:13" x14ac:dyDescent="0.25">
      <c r="A211">
        <v>981</v>
      </c>
      <c r="B211" t="s">
        <v>670</v>
      </c>
      <c r="C211" t="s">
        <v>671</v>
      </c>
      <c r="D211">
        <v>4700000</v>
      </c>
      <c r="E211" t="str">
        <f t="shared" si="6"/>
        <v>Good</v>
      </c>
      <c r="F211" t="s">
        <v>167</v>
      </c>
      <c r="G211" t="str">
        <f>IF(D210&lt;10000,"Nano",IF(D210&lt;100000,"Micro",IF(D210&lt;1000000,"Macro","Mega")))</f>
        <v>Mega</v>
      </c>
      <c r="H211" t="str">
        <f t="shared" si="7"/>
        <v>High</v>
      </c>
      <c r="I211" t="s">
        <v>36</v>
      </c>
      <c r="J211">
        <v>475900</v>
      </c>
      <c r="K211" t="s">
        <v>70</v>
      </c>
      <c r="L211" t="s">
        <v>13</v>
      </c>
      <c r="M211">
        <v>2236730000000</v>
      </c>
    </row>
    <row r="212" spans="1:13" x14ac:dyDescent="0.25">
      <c r="A212">
        <v>985</v>
      </c>
      <c r="B212" t="s">
        <v>672</v>
      </c>
      <c r="C212" t="s">
        <v>673</v>
      </c>
      <c r="D212">
        <v>7000000</v>
      </c>
      <c r="E212" t="str">
        <f t="shared" si="6"/>
        <v>Good</v>
      </c>
      <c r="F212" t="s">
        <v>587</v>
      </c>
      <c r="G212" t="str">
        <f>IF(D211&lt;10000,"Nano",IF(D211&lt;100000,"Micro",IF(D211&lt;1000000,"Macro","Mega")))</f>
        <v>Mega</v>
      </c>
      <c r="H212" t="str">
        <f t="shared" si="7"/>
        <v>High</v>
      </c>
      <c r="I212" t="s">
        <v>674</v>
      </c>
      <c r="J212">
        <v>311000</v>
      </c>
      <c r="K212" t="s">
        <v>109</v>
      </c>
      <c r="L212" t="s">
        <v>13</v>
      </c>
      <c r="M212">
        <v>2177000000000</v>
      </c>
    </row>
    <row r="213" spans="1:13" x14ac:dyDescent="0.25">
      <c r="A213">
        <v>987</v>
      </c>
      <c r="B213" t="s">
        <v>675</v>
      </c>
      <c r="C213" t="s">
        <v>676</v>
      </c>
      <c r="D213">
        <v>17900000</v>
      </c>
      <c r="E213" t="str">
        <f t="shared" si="6"/>
        <v>Good</v>
      </c>
      <c r="F213" t="s">
        <v>17</v>
      </c>
      <c r="G213" t="str">
        <f>IF(D212&lt;10000,"Nano",IF(D212&lt;100000,"Micro",IF(D212&lt;1000000,"Macro","Mega")))</f>
        <v>Mega</v>
      </c>
      <c r="H213" t="str">
        <f t="shared" si="7"/>
        <v>High</v>
      </c>
      <c r="I213" t="s">
        <v>677</v>
      </c>
      <c r="J213">
        <v>119300</v>
      </c>
      <c r="K213" t="s">
        <v>33</v>
      </c>
      <c r="L213" t="s">
        <v>13</v>
      </c>
      <c r="M213">
        <v>2135470000000</v>
      </c>
    </row>
    <row r="214" spans="1:13" x14ac:dyDescent="0.25">
      <c r="A214">
        <v>997</v>
      </c>
      <c r="B214" t="s">
        <v>678</v>
      </c>
      <c r="C214" t="s">
        <v>679</v>
      </c>
      <c r="D214">
        <v>12900000</v>
      </c>
      <c r="E214" t="str">
        <f t="shared" si="6"/>
        <v>Good</v>
      </c>
      <c r="F214" t="s">
        <v>17</v>
      </c>
      <c r="G214" t="str">
        <f>IF(D213&lt;10000,"Nano",IF(D213&lt;100000,"Micro",IF(D213&lt;1000000,"Macro","Mega")))</f>
        <v>Mega</v>
      </c>
      <c r="H214" t="str">
        <f t="shared" si="7"/>
        <v>High</v>
      </c>
      <c r="I214" t="s">
        <v>680</v>
      </c>
      <c r="J214">
        <v>163900</v>
      </c>
      <c r="K214" t="s">
        <v>87</v>
      </c>
      <c r="L214" t="s">
        <v>88</v>
      </c>
      <c r="M214">
        <v>2114310000000</v>
      </c>
    </row>
  </sheetData>
  <pageMargins left="0.75" right="0.75" top="1" bottom="1" header="0.5" footer="0.5"/>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2026-04-05T05:06:36Z</dcterms:created>
  <dcterms:modified xsi:type="dcterms:W3CDTF">2026-04-05T06:38:52Z</dcterms:modified>
</cp:coreProperties>
</file>